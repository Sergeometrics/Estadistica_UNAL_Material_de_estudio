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Bernoulli" sheetId="2" state="visible" r:id="rId2"/>
    <sheet xmlns:r="http://schemas.openxmlformats.org/officeDocument/2006/relationships" name="MAS con reemplazo" sheetId="3" state="visible" r:id="rId3"/>
    <sheet xmlns:r="http://schemas.openxmlformats.org/officeDocument/2006/relationships" name="MAS sin reemplazo" sheetId="4" state="visible" r:id="rId4"/>
    <sheet xmlns:r="http://schemas.openxmlformats.org/officeDocument/2006/relationships" name="Sistemático" sheetId="5" state="visible" r:id="rId5"/>
    <sheet xmlns:r="http://schemas.openxmlformats.org/officeDocument/2006/relationships" name="Fórmulas LaT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i val="1"/>
      <color rgb="00808080"/>
      <sz val="9"/>
    </font>
    <font>
      <b val="1"/>
      <color rgb="00FFFFFF"/>
      <sz val="10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1" pivotButton="0" quotePrefix="0" xfId="0"/>
    <xf numFmtId="0" fontId="4" fillId="4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1" pivotButton="0" quotePrefix="0" xfId="0"/>
    <xf numFmtId="0" fontId="5" fillId="6" borderId="2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2" pivotButton="0" quotePrefix="0" xfId="0"/>
    <xf numFmtId="0" fontId="4" fillId="4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5" fillId="6" borderId="0" applyAlignment="1" pivotButton="0" quotePrefix="0" xfId="0">
      <alignment horizontal="left" vertical="center"/>
    </xf>
    <xf numFmtId="2" fontId="0" fillId="3" borderId="1" pivotButton="0" quotePrefix="0" xfId="0"/>
    <xf numFmtId="0" fontId="4" fillId="4" borderId="1" applyAlignment="1" pivotButton="0" quotePrefix="0" xfId="0">
      <alignment horizontal="center"/>
    </xf>
    <xf numFmtId="0" fontId="2" fillId="0" borderId="1" pivotButton="0" quotePrefix="0" xfId="0"/>
    <xf numFmtId="164" fontId="0" fillId="3" borderId="1" pivotButton="0" quotePrefix="0" xfId="0"/>
    <xf numFmtId="2" fontId="4" fillId="4" borderId="1" pivotButton="0" quotePrefix="0" xfId="0"/>
    <xf numFmtId="0" fontId="5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H100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" customWidth="1" min="4" max="4"/>
    <col width="26" customWidth="1" min="5" max="5"/>
    <col width="16" customWidth="1" min="6" max="6"/>
    <col width="28" customWidth="1" min="7" max="7"/>
    <col width="16" customWidth="1" min="8" max="8"/>
  </cols>
  <sheetData>
    <row r="1" ht="22" customHeight="1">
      <c r="A1" s="1" t="inlineStr">
        <is>
          <t>DATOS — llene esta hoja primero (celdas amarillas)</t>
        </is>
      </c>
    </row>
    <row r="2">
      <c r="A2" s="2" t="inlineStr">
        <is>
          <t>N — tamaño de la población</t>
        </is>
      </c>
      <c r="B2" s="3" t="n"/>
      <c r="E2" s="4" t="inlineStr">
        <is>
          <t>ESTADÍSTICOS DE LA MUESTRA</t>
        </is>
      </c>
      <c r="F2" s="5" t="n"/>
      <c r="G2" s="4" t="inlineStr">
        <is>
          <t>POBLACIÓN (col. E, opcional)</t>
        </is>
      </c>
      <c r="H2" s="5" t="n"/>
    </row>
    <row r="3">
      <c r="A3" s="2" t="inlineStr">
        <is>
          <t>n — tamaño de la muestra</t>
        </is>
      </c>
      <c r="B3" s="3" t="n"/>
      <c r="C3" s="6" t="inlineStr">
        <is>
          <t>puede escribir =F3 para usar los datos de la columna B</t>
        </is>
      </c>
      <c r="E3" s="2" t="inlineStr">
        <is>
          <t>n (nº de datos)</t>
        </is>
      </c>
      <c r="F3" s="7">
        <f>COUNT(B10:B1009)</f>
        <v/>
      </c>
      <c r="G3" s="2" t="inlineStr">
        <is>
          <t>N (nº de datos)</t>
        </is>
      </c>
      <c r="H3" s="7">
        <f>COUNT(E10:E1009)</f>
        <v/>
      </c>
    </row>
    <row r="4">
      <c r="A4" s="2" t="inlineStr">
        <is>
          <t>Ȳ — media poblacional (si se conoce)</t>
        </is>
      </c>
      <c r="B4" s="3" t="n"/>
      <c r="E4" s="2" t="inlineStr">
        <is>
          <t>Σ yᵢ</t>
        </is>
      </c>
      <c r="F4" s="7">
        <f>SUM(B10:B1009)</f>
        <v/>
      </c>
      <c r="G4" s="2" t="inlineStr">
        <is>
          <t>Σ yᵢ (población)</t>
        </is>
      </c>
      <c r="H4" s="7">
        <f>SUM(E10:E1009)</f>
        <v/>
      </c>
    </row>
    <row r="5">
      <c r="A5" s="2" t="inlineStr">
        <is>
          <t>S² — varianza poblacional (si se conoce)</t>
        </is>
      </c>
      <c r="B5" s="3" t="n"/>
      <c r="E5" s="2" t="inlineStr">
        <is>
          <t>Σ yᵢ²</t>
        </is>
      </c>
      <c r="F5" s="7">
        <f>SUMPRODUCT(B10:B1009,B10:B1009)</f>
        <v/>
      </c>
      <c r="G5" s="2" t="inlineStr">
        <is>
          <t>Σ yᵢ² (población)</t>
        </is>
      </c>
      <c r="H5" s="7">
        <f>SUMPRODUCT(E10:E1009,E10:E1009)</f>
        <v/>
      </c>
    </row>
    <row r="6">
      <c r="A6" s="2" t="inlineStr">
        <is>
          <t>P — proporción poblacional (si se conoce)</t>
        </is>
      </c>
      <c r="B6" s="3" t="n"/>
      <c r="E6" s="2" t="inlineStr">
        <is>
          <t>ȳ (media muestral)</t>
        </is>
      </c>
      <c r="F6" s="7">
        <f>IF(F3=0,"",AVERAGE(B10:B1009))</f>
        <v/>
      </c>
      <c r="G6" s="2" t="inlineStr">
        <is>
          <t>Ȳ (media poblacional)</t>
        </is>
      </c>
      <c r="H6" s="7">
        <f>IF(H3=0,"",AVERAGE(E10:E1009))</f>
        <v/>
      </c>
    </row>
    <row r="7">
      <c r="E7" s="2" t="inlineStr">
        <is>
          <t>s² (var. muestral)</t>
        </is>
      </c>
      <c r="F7" s="7">
        <f>IF(F3&lt;2,"",_xlfn.VAR.S(B10:B1009))</f>
        <v/>
      </c>
      <c r="G7" s="2" t="inlineStr">
        <is>
          <t>S² (var. poblacional)</t>
        </is>
      </c>
      <c r="H7" s="7">
        <f>IF(H3&lt;2,"",_xlfn.VAR.S(E10:E1009))</f>
        <v/>
      </c>
    </row>
    <row r="8">
      <c r="A8" s="8" t="inlineStr">
        <is>
          <t>MUESTRA: pegue aquí los datos (B = yᵢ, C = zᵢ∈{0,1} para proporciones; E = población opcional)</t>
        </is>
      </c>
      <c r="B8" s="9" t="n"/>
      <c r="C8" s="9" t="n"/>
      <c r="D8" s="9" t="n"/>
      <c r="E8" s="9" t="n"/>
      <c r="F8" s="9" t="n"/>
      <c r="G8" s="9" t="n"/>
      <c r="H8" s="10" t="n"/>
    </row>
    <row r="9">
      <c r="A9" s="11" t="inlineStr">
        <is>
          <t>#</t>
        </is>
      </c>
      <c r="B9" s="11" t="inlineStr">
        <is>
          <t>yᵢ (muestra)</t>
        </is>
      </c>
      <c r="C9" s="11" t="inlineStr">
        <is>
          <t>zᵢ (0/1)</t>
        </is>
      </c>
      <c r="E9" s="11" t="inlineStr">
        <is>
          <t>yᵢ (población, opcional)</t>
        </is>
      </c>
      <c r="F9" s="7">
        <f>SUM(C10:C1009)</f>
        <v/>
      </c>
      <c r="G9" s="2" t="inlineStr">
        <is>
          <t>P verdadera (si binaria)</t>
        </is>
      </c>
      <c r="H9" s="7">
        <f>IF(H3=0,"",SUMIF(E10:E1009,1)/H3)</f>
        <v/>
      </c>
    </row>
    <row r="10">
      <c r="A10" t="n">
        <v>1</v>
      </c>
      <c r="E10" s="2" t="inlineStr">
        <is>
          <t>n_z (nº datos zᵢ)</t>
        </is>
      </c>
      <c r="F10" s="7">
        <f>COUNT(C10:C1009)</f>
        <v/>
      </c>
    </row>
    <row r="11">
      <c r="A11">
        <f>A10+1</f>
        <v/>
      </c>
      <c r="B11" s="12" t="n"/>
      <c r="C11" s="12" t="n"/>
      <c r="E11" s="13" t="inlineStr">
        <is>
          <t>p̂ = a/n_z</t>
        </is>
      </c>
      <c r="F11" s="7">
        <f>IF(F10=0,"",F9/F10)</f>
        <v/>
      </c>
    </row>
    <row r="12">
      <c r="A12">
        <f>A11+1</f>
        <v/>
      </c>
      <c r="B12" s="12" t="n"/>
      <c r="C12" s="12" t="n"/>
      <c r="E12" s="12" t="n"/>
    </row>
    <row r="13">
      <c r="A13">
        <f>A12+1</f>
        <v/>
      </c>
      <c r="B13" s="12" t="n"/>
      <c r="C13" s="12" t="n"/>
      <c r="E13" s="12" t="n"/>
    </row>
    <row r="14">
      <c r="A14">
        <f>A13+1</f>
        <v/>
      </c>
      <c r="B14" s="12" t="n"/>
      <c r="C14" s="12" t="n"/>
      <c r="E14" s="12" t="n"/>
    </row>
    <row r="15">
      <c r="A15">
        <f>A14+1</f>
        <v/>
      </c>
      <c r="B15" s="12" t="n"/>
      <c r="C15" s="12" t="n"/>
      <c r="E15" s="12" t="n"/>
    </row>
    <row r="16">
      <c r="A16">
        <f>A15+1</f>
        <v/>
      </c>
      <c r="B16" s="12" t="n"/>
      <c r="C16" s="12" t="n"/>
      <c r="E16" s="12" t="n"/>
    </row>
    <row r="17">
      <c r="A17">
        <f>A16+1</f>
        <v/>
      </c>
      <c r="B17" s="12" t="n"/>
      <c r="C17" s="12" t="n"/>
      <c r="E17" s="12" t="n"/>
    </row>
    <row r="18">
      <c r="A18">
        <f>A17+1</f>
        <v/>
      </c>
      <c r="B18" s="12" t="n"/>
      <c r="C18" s="12" t="n"/>
      <c r="E18" s="12" t="n"/>
    </row>
    <row r="19">
      <c r="A19">
        <f>A18+1</f>
        <v/>
      </c>
      <c r="B19" s="12" t="n"/>
      <c r="C19" s="12" t="n"/>
      <c r="E19" s="12" t="n"/>
    </row>
    <row r="20">
      <c r="A20">
        <f>A19+1</f>
        <v/>
      </c>
      <c r="B20" s="12" t="n"/>
      <c r="C20" s="12" t="n"/>
      <c r="E20" s="12" t="n"/>
    </row>
    <row r="21">
      <c r="A21">
        <f>A20+1</f>
        <v/>
      </c>
      <c r="B21" s="12" t="n"/>
      <c r="C21" s="12" t="n"/>
      <c r="E21" s="12" t="n"/>
    </row>
    <row r="22">
      <c r="A22">
        <f>A21+1</f>
        <v/>
      </c>
      <c r="B22" s="12" t="n"/>
      <c r="C22" s="12" t="n"/>
      <c r="E22" s="12" t="n"/>
    </row>
    <row r="23">
      <c r="A23">
        <f>A22+1</f>
        <v/>
      </c>
      <c r="B23" s="12" t="n"/>
      <c r="C23" s="12" t="n"/>
      <c r="E23" s="12" t="n"/>
    </row>
    <row r="24">
      <c r="A24">
        <f>A23+1</f>
        <v/>
      </c>
      <c r="B24" s="12" t="n"/>
      <c r="C24" s="12" t="n"/>
      <c r="E24" s="12" t="n"/>
    </row>
    <row r="25">
      <c r="A25">
        <f>A24+1</f>
        <v/>
      </c>
      <c r="B25" s="12" t="n"/>
      <c r="C25" s="12" t="n"/>
      <c r="E25" s="12" t="n"/>
    </row>
    <row r="26">
      <c r="A26">
        <f>A25+1</f>
        <v/>
      </c>
      <c r="B26" s="12" t="n"/>
      <c r="C26" s="12" t="n"/>
      <c r="E26" s="12" t="n"/>
    </row>
    <row r="27">
      <c r="A27">
        <f>A26+1</f>
        <v/>
      </c>
      <c r="B27" s="12" t="n"/>
      <c r="C27" s="12" t="n"/>
      <c r="E27" s="12" t="n"/>
    </row>
    <row r="28">
      <c r="A28">
        <f>A27+1</f>
        <v/>
      </c>
      <c r="B28" s="12" t="n"/>
      <c r="C28" s="12" t="n"/>
      <c r="E28" s="12" t="n"/>
    </row>
    <row r="29">
      <c r="A29">
        <f>A28+1</f>
        <v/>
      </c>
      <c r="B29" s="12" t="n"/>
      <c r="C29" s="12" t="n"/>
      <c r="E29" s="12" t="n"/>
    </row>
    <row r="30">
      <c r="A30">
        <f>A29+1</f>
        <v/>
      </c>
      <c r="B30" s="12" t="n"/>
      <c r="C30" s="12" t="n"/>
      <c r="E30" s="12" t="n"/>
    </row>
    <row r="31">
      <c r="A31">
        <f>A30+1</f>
        <v/>
      </c>
      <c r="B31" s="12" t="n"/>
      <c r="C31" s="12" t="n"/>
      <c r="E31" s="12" t="n"/>
    </row>
    <row r="32">
      <c r="A32">
        <f>A31+1</f>
        <v/>
      </c>
      <c r="B32" s="12" t="n"/>
      <c r="C32" s="12" t="n"/>
      <c r="E32" s="12" t="n"/>
    </row>
    <row r="33">
      <c r="A33">
        <f>A32+1</f>
        <v/>
      </c>
      <c r="B33" s="12" t="n"/>
      <c r="C33" s="12" t="n"/>
      <c r="E33" s="12" t="n"/>
    </row>
    <row r="34">
      <c r="A34">
        <f>A33+1</f>
        <v/>
      </c>
      <c r="B34" s="12" t="n"/>
      <c r="C34" s="12" t="n"/>
      <c r="E34" s="12" t="n"/>
    </row>
    <row r="35">
      <c r="A35">
        <f>A34+1</f>
        <v/>
      </c>
      <c r="B35" s="12" t="n"/>
      <c r="C35" s="12" t="n"/>
      <c r="E35" s="12" t="n"/>
    </row>
    <row r="36">
      <c r="A36">
        <f>A35+1</f>
        <v/>
      </c>
      <c r="B36" s="12" t="n"/>
      <c r="C36" s="12" t="n"/>
      <c r="E36" s="12" t="n"/>
    </row>
    <row r="37">
      <c r="A37">
        <f>A36+1</f>
        <v/>
      </c>
      <c r="B37" s="12" t="n"/>
      <c r="C37" s="12" t="n"/>
      <c r="E37" s="12" t="n"/>
    </row>
    <row r="38">
      <c r="A38">
        <f>A37+1</f>
        <v/>
      </c>
      <c r="B38" s="12" t="n"/>
      <c r="C38" s="12" t="n"/>
      <c r="E38" s="12" t="n"/>
    </row>
    <row r="39">
      <c r="A39">
        <f>A38+1</f>
        <v/>
      </c>
      <c r="B39" s="12" t="n"/>
      <c r="C39" s="12" t="n"/>
      <c r="E39" s="12" t="n"/>
    </row>
    <row r="40">
      <c r="A40">
        <f>A39+1</f>
        <v/>
      </c>
      <c r="B40" s="12" t="n"/>
      <c r="C40" s="12" t="n"/>
      <c r="E40" s="12" t="n"/>
    </row>
    <row r="41">
      <c r="A41">
        <f>A40+1</f>
        <v/>
      </c>
      <c r="B41" s="12" t="n"/>
      <c r="C41" s="12" t="n"/>
      <c r="E41" s="12" t="n"/>
    </row>
    <row r="42">
      <c r="A42">
        <f>A41+1</f>
        <v/>
      </c>
      <c r="B42" s="12" t="n"/>
      <c r="C42" s="12" t="n"/>
      <c r="E42" s="12" t="n"/>
    </row>
    <row r="43">
      <c r="A43">
        <f>A42+1</f>
        <v/>
      </c>
      <c r="B43" s="12" t="n"/>
      <c r="C43" s="12" t="n"/>
      <c r="E43" s="12" t="n"/>
    </row>
    <row r="44">
      <c r="A44">
        <f>A43+1</f>
        <v/>
      </c>
      <c r="B44" s="12" t="n"/>
      <c r="C44" s="12" t="n"/>
      <c r="E44" s="12" t="n"/>
    </row>
    <row r="45">
      <c r="A45">
        <f>A44+1</f>
        <v/>
      </c>
      <c r="B45" s="12" t="n"/>
      <c r="C45" s="12" t="n"/>
      <c r="E45" s="12" t="n"/>
    </row>
    <row r="46">
      <c r="A46">
        <f>A45+1</f>
        <v/>
      </c>
      <c r="B46" s="12" t="n"/>
      <c r="C46" s="12" t="n"/>
      <c r="E46" s="12" t="n"/>
    </row>
    <row r="47">
      <c r="A47">
        <f>A46+1</f>
        <v/>
      </c>
      <c r="B47" s="12" t="n"/>
      <c r="C47" s="12" t="n"/>
      <c r="E47" s="12" t="n"/>
    </row>
    <row r="48">
      <c r="A48">
        <f>A47+1</f>
        <v/>
      </c>
      <c r="B48" s="12" t="n"/>
      <c r="C48" s="12" t="n"/>
      <c r="E48" s="12" t="n"/>
    </row>
    <row r="49">
      <c r="A49">
        <f>A48+1</f>
        <v/>
      </c>
      <c r="B49" s="12" t="n"/>
      <c r="C49" s="12" t="n"/>
      <c r="E49" s="12" t="n"/>
    </row>
    <row r="50">
      <c r="A50">
        <f>A49+1</f>
        <v/>
      </c>
      <c r="B50" s="12" t="n"/>
      <c r="C50" s="12" t="n"/>
      <c r="E50" s="12" t="n"/>
    </row>
    <row r="51">
      <c r="A51">
        <f>A50+1</f>
        <v/>
      </c>
      <c r="B51" s="12" t="n"/>
      <c r="C51" s="12" t="n"/>
      <c r="E51" s="12" t="n"/>
    </row>
    <row r="52">
      <c r="A52">
        <f>A51+1</f>
        <v/>
      </c>
      <c r="B52" s="12" t="n"/>
      <c r="C52" s="12" t="n"/>
      <c r="E52" s="12" t="n"/>
    </row>
    <row r="53">
      <c r="A53">
        <f>A52+1</f>
        <v/>
      </c>
      <c r="B53" s="12" t="n"/>
      <c r="C53" s="12" t="n"/>
      <c r="E53" s="12" t="n"/>
    </row>
    <row r="54">
      <c r="A54">
        <f>A53+1</f>
        <v/>
      </c>
      <c r="B54" s="12" t="n"/>
      <c r="C54" s="12" t="n"/>
      <c r="E54" s="12" t="n"/>
    </row>
    <row r="55">
      <c r="A55">
        <f>A54+1</f>
        <v/>
      </c>
      <c r="B55" s="12" t="n"/>
      <c r="C55" s="12" t="n"/>
      <c r="E55" s="12" t="n"/>
    </row>
    <row r="56">
      <c r="A56">
        <f>A55+1</f>
        <v/>
      </c>
      <c r="B56" s="12" t="n"/>
      <c r="C56" s="12" t="n"/>
      <c r="E56" s="12" t="n"/>
    </row>
    <row r="57">
      <c r="A57">
        <f>A56+1</f>
        <v/>
      </c>
      <c r="B57" s="12" t="n"/>
      <c r="C57" s="12" t="n"/>
      <c r="E57" s="12" t="n"/>
    </row>
    <row r="58">
      <c r="A58">
        <f>A57+1</f>
        <v/>
      </c>
      <c r="B58" s="12" t="n"/>
      <c r="C58" s="12" t="n"/>
      <c r="E58" s="12" t="n"/>
    </row>
    <row r="59">
      <c r="A59">
        <f>A58+1</f>
        <v/>
      </c>
      <c r="B59" s="12" t="n"/>
      <c r="C59" s="12" t="n"/>
      <c r="E59" s="12" t="n"/>
    </row>
    <row r="60">
      <c r="A60">
        <f>A59+1</f>
        <v/>
      </c>
      <c r="B60" s="12" t="n"/>
      <c r="C60" s="12" t="n"/>
      <c r="E60" s="12" t="n"/>
    </row>
    <row r="61">
      <c r="A61">
        <f>A60+1</f>
        <v/>
      </c>
      <c r="B61" s="12" t="n"/>
      <c r="C61" s="12" t="n"/>
      <c r="E61" s="12" t="n"/>
    </row>
    <row r="62">
      <c r="A62">
        <f>A61+1</f>
        <v/>
      </c>
      <c r="B62" s="12" t="n"/>
      <c r="C62" s="12" t="n"/>
      <c r="E62" s="12" t="n"/>
    </row>
    <row r="63">
      <c r="A63">
        <f>A62+1</f>
        <v/>
      </c>
      <c r="B63" s="12" t="n"/>
      <c r="C63" s="12" t="n"/>
      <c r="E63" s="12" t="n"/>
    </row>
    <row r="64">
      <c r="A64">
        <f>A63+1</f>
        <v/>
      </c>
      <c r="B64" s="12" t="n"/>
      <c r="C64" s="12" t="n"/>
      <c r="E64" s="12" t="n"/>
    </row>
    <row r="65">
      <c r="A65">
        <f>A64+1</f>
        <v/>
      </c>
      <c r="B65" s="12" t="n"/>
      <c r="C65" s="12" t="n"/>
      <c r="E65" s="12" t="n"/>
    </row>
    <row r="66">
      <c r="A66">
        <f>A65+1</f>
        <v/>
      </c>
      <c r="B66" s="12" t="n"/>
      <c r="C66" s="12" t="n"/>
      <c r="E66" s="12" t="n"/>
    </row>
    <row r="67">
      <c r="A67">
        <f>A66+1</f>
        <v/>
      </c>
      <c r="B67" s="12" t="n"/>
      <c r="C67" s="12" t="n"/>
      <c r="E67" s="12" t="n"/>
    </row>
    <row r="68">
      <c r="A68">
        <f>A67+1</f>
        <v/>
      </c>
      <c r="B68" s="12" t="n"/>
      <c r="C68" s="12" t="n"/>
      <c r="E68" s="12" t="n"/>
    </row>
    <row r="69">
      <c r="A69">
        <f>A68+1</f>
        <v/>
      </c>
      <c r="B69" s="12" t="n"/>
      <c r="C69" s="12" t="n"/>
      <c r="E69" s="12" t="n"/>
    </row>
    <row r="70">
      <c r="A70">
        <f>A69+1</f>
        <v/>
      </c>
      <c r="B70" s="12" t="n"/>
      <c r="C70" s="12" t="n"/>
      <c r="E70" s="12" t="n"/>
    </row>
    <row r="71">
      <c r="A71">
        <f>A70+1</f>
        <v/>
      </c>
      <c r="B71" s="12" t="n"/>
      <c r="C71" s="12" t="n"/>
      <c r="E71" s="12" t="n"/>
    </row>
    <row r="72">
      <c r="A72">
        <f>A71+1</f>
        <v/>
      </c>
      <c r="B72" s="12" t="n"/>
      <c r="C72" s="12" t="n"/>
      <c r="E72" s="12" t="n"/>
    </row>
    <row r="73">
      <c r="A73">
        <f>A72+1</f>
        <v/>
      </c>
      <c r="B73" s="12" t="n"/>
      <c r="C73" s="12" t="n"/>
      <c r="E73" s="12" t="n"/>
    </row>
    <row r="74">
      <c r="A74">
        <f>A73+1</f>
        <v/>
      </c>
      <c r="B74" s="12" t="n"/>
      <c r="C74" s="12" t="n"/>
      <c r="E74" s="12" t="n"/>
    </row>
    <row r="75">
      <c r="A75">
        <f>A74+1</f>
        <v/>
      </c>
      <c r="B75" s="12" t="n"/>
      <c r="C75" s="12" t="n"/>
      <c r="E75" s="12" t="n"/>
    </row>
    <row r="76">
      <c r="A76">
        <f>A75+1</f>
        <v/>
      </c>
      <c r="B76" s="12" t="n"/>
      <c r="C76" s="12" t="n"/>
      <c r="E76" s="12" t="n"/>
    </row>
    <row r="77">
      <c r="A77">
        <f>A76+1</f>
        <v/>
      </c>
      <c r="B77" s="12" t="n"/>
      <c r="C77" s="12" t="n"/>
      <c r="E77" s="12" t="n"/>
    </row>
    <row r="78">
      <c r="A78">
        <f>A77+1</f>
        <v/>
      </c>
      <c r="B78" s="12" t="n"/>
      <c r="C78" s="12" t="n"/>
      <c r="E78" s="12" t="n"/>
    </row>
    <row r="79">
      <c r="A79">
        <f>A78+1</f>
        <v/>
      </c>
      <c r="B79" s="12" t="n"/>
      <c r="C79" s="12" t="n"/>
      <c r="E79" s="12" t="n"/>
    </row>
    <row r="80">
      <c r="A80">
        <f>A79+1</f>
        <v/>
      </c>
      <c r="B80" s="12" t="n"/>
      <c r="C80" s="12" t="n"/>
      <c r="E80" s="12" t="n"/>
    </row>
    <row r="81">
      <c r="A81">
        <f>A80+1</f>
        <v/>
      </c>
      <c r="B81" s="12" t="n"/>
      <c r="C81" s="12" t="n"/>
      <c r="E81" s="12" t="n"/>
    </row>
    <row r="82">
      <c r="A82">
        <f>A81+1</f>
        <v/>
      </c>
      <c r="B82" s="12" t="n"/>
      <c r="C82" s="12" t="n"/>
      <c r="E82" s="12" t="n"/>
    </row>
    <row r="83">
      <c r="A83">
        <f>A82+1</f>
        <v/>
      </c>
      <c r="B83" s="12" t="n"/>
      <c r="C83" s="12" t="n"/>
      <c r="E83" s="12" t="n"/>
    </row>
    <row r="84">
      <c r="A84">
        <f>A83+1</f>
        <v/>
      </c>
      <c r="B84" s="12" t="n"/>
      <c r="C84" s="12" t="n"/>
      <c r="E84" s="12" t="n"/>
    </row>
    <row r="85">
      <c r="A85">
        <f>A84+1</f>
        <v/>
      </c>
      <c r="B85" s="12" t="n"/>
      <c r="C85" s="12" t="n"/>
      <c r="E85" s="12" t="n"/>
    </row>
    <row r="86">
      <c r="A86">
        <f>A85+1</f>
        <v/>
      </c>
      <c r="B86" s="12" t="n"/>
      <c r="C86" s="12" t="n"/>
      <c r="E86" s="12" t="n"/>
    </row>
    <row r="87">
      <c r="A87">
        <f>A86+1</f>
        <v/>
      </c>
      <c r="B87" s="12" t="n"/>
      <c r="C87" s="12" t="n"/>
      <c r="E87" s="12" t="n"/>
    </row>
    <row r="88">
      <c r="A88">
        <f>A87+1</f>
        <v/>
      </c>
      <c r="B88" s="12" t="n"/>
      <c r="C88" s="12" t="n"/>
      <c r="E88" s="12" t="n"/>
    </row>
    <row r="89">
      <c r="A89">
        <f>A88+1</f>
        <v/>
      </c>
      <c r="B89" s="12" t="n"/>
      <c r="C89" s="12" t="n"/>
      <c r="E89" s="12" t="n"/>
    </row>
    <row r="90">
      <c r="A90">
        <f>A89+1</f>
        <v/>
      </c>
      <c r="B90" s="12" t="n"/>
      <c r="C90" s="12" t="n"/>
      <c r="E90" s="12" t="n"/>
    </row>
    <row r="91">
      <c r="A91">
        <f>A90+1</f>
        <v/>
      </c>
      <c r="B91" s="12" t="n"/>
      <c r="C91" s="12" t="n"/>
      <c r="E91" s="12" t="n"/>
    </row>
    <row r="92">
      <c r="A92">
        <f>A91+1</f>
        <v/>
      </c>
      <c r="B92" s="12" t="n"/>
      <c r="C92" s="12" t="n"/>
      <c r="E92" s="12" t="n"/>
    </row>
    <row r="93">
      <c r="A93">
        <f>A92+1</f>
        <v/>
      </c>
      <c r="B93" s="12" t="n"/>
      <c r="C93" s="12" t="n"/>
      <c r="E93" s="12" t="n"/>
    </row>
    <row r="94">
      <c r="A94">
        <f>A93+1</f>
        <v/>
      </c>
      <c r="B94" s="12" t="n"/>
      <c r="C94" s="12" t="n"/>
      <c r="E94" s="12" t="n"/>
    </row>
    <row r="95">
      <c r="A95">
        <f>A94+1</f>
        <v/>
      </c>
      <c r="B95" s="12" t="n"/>
      <c r="C95" s="12" t="n"/>
      <c r="E95" s="12" t="n"/>
    </row>
    <row r="96">
      <c r="A96">
        <f>A95+1</f>
        <v/>
      </c>
      <c r="B96" s="12" t="n"/>
      <c r="C96" s="12" t="n"/>
      <c r="E96" s="12" t="n"/>
    </row>
    <row r="97">
      <c r="A97">
        <f>A96+1</f>
        <v/>
      </c>
      <c r="B97" s="12" t="n"/>
      <c r="C97" s="12" t="n"/>
      <c r="E97" s="12" t="n"/>
    </row>
    <row r="98">
      <c r="A98">
        <f>A97+1</f>
        <v/>
      </c>
      <c r="B98" s="12" t="n"/>
      <c r="C98" s="12" t="n"/>
      <c r="E98" s="12" t="n"/>
    </row>
    <row r="99">
      <c r="A99">
        <f>A98+1</f>
        <v/>
      </c>
      <c r="B99" s="12" t="n"/>
      <c r="C99" s="12" t="n"/>
      <c r="E99" s="12" t="n"/>
    </row>
    <row r="100">
      <c r="A100">
        <f>A99+1</f>
        <v/>
      </c>
      <c r="B100" s="12" t="n"/>
      <c r="C100" s="12" t="n"/>
      <c r="E100" s="12" t="n"/>
    </row>
    <row r="101">
      <c r="A101">
        <f>A100+1</f>
        <v/>
      </c>
      <c r="B101" s="12" t="n"/>
      <c r="C101" s="12" t="n"/>
      <c r="E101" s="12" t="n"/>
    </row>
    <row r="102">
      <c r="A102">
        <f>A101+1</f>
        <v/>
      </c>
      <c r="B102" s="12" t="n"/>
      <c r="C102" s="12" t="n"/>
      <c r="E102" s="12" t="n"/>
    </row>
    <row r="103">
      <c r="A103">
        <f>A102+1</f>
        <v/>
      </c>
      <c r="B103" s="12" t="n"/>
      <c r="C103" s="12" t="n"/>
      <c r="E103" s="12" t="n"/>
    </row>
    <row r="104">
      <c r="A104">
        <f>A103+1</f>
        <v/>
      </c>
      <c r="B104" s="12" t="n"/>
      <c r="C104" s="12" t="n"/>
      <c r="E104" s="12" t="n"/>
    </row>
    <row r="105">
      <c r="A105">
        <f>A104+1</f>
        <v/>
      </c>
      <c r="B105" s="12" t="n"/>
      <c r="C105" s="12" t="n"/>
      <c r="E105" s="12" t="n"/>
    </row>
    <row r="106">
      <c r="A106">
        <f>A105+1</f>
        <v/>
      </c>
      <c r="B106" s="12" t="n"/>
      <c r="C106" s="12" t="n"/>
      <c r="E106" s="12" t="n"/>
    </row>
    <row r="107">
      <c r="A107">
        <f>A106+1</f>
        <v/>
      </c>
      <c r="B107" s="12" t="n"/>
      <c r="C107" s="12" t="n"/>
      <c r="E107" s="12" t="n"/>
    </row>
    <row r="108">
      <c r="A108">
        <f>A107+1</f>
        <v/>
      </c>
      <c r="B108" s="12" t="n"/>
      <c r="C108" s="12" t="n"/>
      <c r="E108" s="12" t="n"/>
    </row>
    <row r="109">
      <c r="A109">
        <f>A108+1</f>
        <v/>
      </c>
      <c r="B109" s="12" t="n"/>
      <c r="C109" s="12" t="n"/>
      <c r="E109" s="12" t="n"/>
    </row>
    <row r="110">
      <c r="A110">
        <f>A109+1</f>
        <v/>
      </c>
      <c r="B110" s="12" t="n"/>
      <c r="C110" s="12" t="n"/>
      <c r="E110" s="12" t="n"/>
    </row>
    <row r="111">
      <c r="A111">
        <f>A110+1</f>
        <v/>
      </c>
      <c r="B111" s="12" t="n"/>
      <c r="C111" s="12" t="n"/>
      <c r="E111" s="12" t="n"/>
    </row>
    <row r="112">
      <c r="A112">
        <f>A111+1</f>
        <v/>
      </c>
      <c r="B112" s="12" t="n"/>
      <c r="C112" s="12" t="n"/>
      <c r="E112" s="12" t="n"/>
    </row>
    <row r="113">
      <c r="A113">
        <f>A112+1</f>
        <v/>
      </c>
      <c r="B113" s="12" t="n"/>
      <c r="C113" s="12" t="n"/>
      <c r="E113" s="12" t="n"/>
    </row>
    <row r="114">
      <c r="A114">
        <f>A113+1</f>
        <v/>
      </c>
      <c r="B114" s="12" t="n"/>
      <c r="C114" s="12" t="n"/>
      <c r="E114" s="12" t="n"/>
    </row>
    <row r="115">
      <c r="A115">
        <f>A114+1</f>
        <v/>
      </c>
      <c r="B115" s="12" t="n"/>
      <c r="C115" s="12" t="n"/>
      <c r="E115" s="12" t="n"/>
    </row>
    <row r="116">
      <c r="A116">
        <f>A115+1</f>
        <v/>
      </c>
      <c r="B116" s="12" t="n"/>
      <c r="C116" s="12" t="n"/>
      <c r="E116" s="12" t="n"/>
    </row>
    <row r="117">
      <c r="A117">
        <f>A116+1</f>
        <v/>
      </c>
      <c r="B117" s="12" t="n"/>
      <c r="C117" s="12" t="n"/>
      <c r="E117" s="12" t="n"/>
    </row>
    <row r="118">
      <c r="A118">
        <f>A117+1</f>
        <v/>
      </c>
      <c r="B118" s="12" t="n"/>
      <c r="C118" s="12" t="n"/>
      <c r="E118" s="12" t="n"/>
    </row>
    <row r="119">
      <c r="A119">
        <f>A118+1</f>
        <v/>
      </c>
      <c r="B119" s="12" t="n"/>
      <c r="C119" s="12" t="n"/>
      <c r="E119" s="12" t="n"/>
    </row>
    <row r="120">
      <c r="A120">
        <f>A119+1</f>
        <v/>
      </c>
      <c r="B120" s="12" t="n"/>
      <c r="C120" s="12" t="n"/>
      <c r="E120" s="12" t="n"/>
    </row>
    <row r="121">
      <c r="A121">
        <f>A120+1</f>
        <v/>
      </c>
      <c r="B121" s="12" t="n"/>
      <c r="C121" s="12" t="n"/>
      <c r="E121" s="12" t="n"/>
    </row>
    <row r="122">
      <c r="A122">
        <f>A121+1</f>
        <v/>
      </c>
      <c r="B122" s="12" t="n"/>
      <c r="C122" s="12" t="n"/>
      <c r="E122" s="12" t="n"/>
    </row>
    <row r="123">
      <c r="A123">
        <f>A122+1</f>
        <v/>
      </c>
      <c r="B123" s="12" t="n"/>
      <c r="C123" s="12" t="n"/>
      <c r="E123" s="12" t="n"/>
    </row>
    <row r="124">
      <c r="A124">
        <f>A123+1</f>
        <v/>
      </c>
      <c r="B124" s="12" t="n"/>
      <c r="C124" s="12" t="n"/>
      <c r="E124" s="12" t="n"/>
    </row>
    <row r="125">
      <c r="A125">
        <f>A124+1</f>
        <v/>
      </c>
      <c r="B125" s="12" t="n"/>
      <c r="C125" s="12" t="n"/>
      <c r="E125" s="12" t="n"/>
    </row>
    <row r="126">
      <c r="A126">
        <f>A125+1</f>
        <v/>
      </c>
      <c r="B126" s="12" t="n"/>
      <c r="C126" s="12" t="n"/>
      <c r="E126" s="12" t="n"/>
    </row>
    <row r="127">
      <c r="A127">
        <f>A126+1</f>
        <v/>
      </c>
      <c r="B127" s="12" t="n"/>
      <c r="C127" s="12" t="n"/>
      <c r="E127" s="12" t="n"/>
    </row>
    <row r="128">
      <c r="A128">
        <f>A127+1</f>
        <v/>
      </c>
      <c r="B128" s="12" t="n"/>
      <c r="C128" s="12" t="n"/>
      <c r="E128" s="12" t="n"/>
    </row>
    <row r="129">
      <c r="A129">
        <f>A128+1</f>
        <v/>
      </c>
      <c r="B129" s="12" t="n"/>
      <c r="C129" s="12" t="n"/>
      <c r="E129" s="12" t="n"/>
    </row>
    <row r="130">
      <c r="A130">
        <f>A129+1</f>
        <v/>
      </c>
      <c r="B130" s="12" t="n"/>
      <c r="C130" s="12" t="n"/>
      <c r="E130" s="12" t="n"/>
    </row>
    <row r="131">
      <c r="A131">
        <f>A130+1</f>
        <v/>
      </c>
      <c r="B131" s="12" t="n"/>
      <c r="C131" s="12" t="n"/>
      <c r="E131" s="12" t="n"/>
    </row>
    <row r="132">
      <c r="A132">
        <f>A131+1</f>
        <v/>
      </c>
      <c r="B132" s="12" t="n"/>
      <c r="C132" s="12" t="n"/>
      <c r="E132" s="12" t="n"/>
    </row>
    <row r="133">
      <c r="A133">
        <f>A132+1</f>
        <v/>
      </c>
      <c r="B133" s="12" t="n"/>
      <c r="C133" s="12" t="n"/>
      <c r="E133" s="12" t="n"/>
    </row>
    <row r="134">
      <c r="A134">
        <f>A133+1</f>
        <v/>
      </c>
      <c r="B134" s="12" t="n"/>
      <c r="C134" s="12" t="n"/>
      <c r="E134" s="12" t="n"/>
    </row>
    <row r="135">
      <c r="A135">
        <f>A134+1</f>
        <v/>
      </c>
      <c r="B135" s="12" t="n"/>
      <c r="C135" s="12" t="n"/>
      <c r="E135" s="12" t="n"/>
    </row>
    <row r="136">
      <c r="A136">
        <f>A135+1</f>
        <v/>
      </c>
      <c r="B136" s="12" t="n"/>
      <c r="C136" s="12" t="n"/>
      <c r="E136" s="12" t="n"/>
    </row>
    <row r="137">
      <c r="A137">
        <f>A136+1</f>
        <v/>
      </c>
      <c r="B137" s="12" t="n"/>
      <c r="C137" s="12" t="n"/>
      <c r="E137" s="12" t="n"/>
    </row>
    <row r="138">
      <c r="A138">
        <f>A137+1</f>
        <v/>
      </c>
      <c r="B138" s="12" t="n"/>
      <c r="C138" s="12" t="n"/>
      <c r="E138" s="12" t="n"/>
    </row>
    <row r="139">
      <c r="A139">
        <f>A138+1</f>
        <v/>
      </c>
      <c r="B139" s="12" t="n"/>
      <c r="C139" s="12" t="n"/>
      <c r="E139" s="12" t="n"/>
    </row>
    <row r="140">
      <c r="A140">
        <f>A139+1</f>
        <v/>
      </c>
      <c r="B140" s="12" t="n"/>
      <c r="C140" s="12" t="n"/>
      <c r="E140" s="12" t="n"/>
    </row>
    <row r="141">
      <c r="A141">
        <f>A140+1</f>
        <v/>
      </c>
      <c r="B141" s="12" t="n"/>
      <c r="C141" s="12" t="n"/>
      <c r="E141" s="12" t="n"/>
    </row>
    <row r="142">
      <c r="A142">
        <f>A141+1</f>
        <v/>
      </c>
      <c r="B142" s="12" t="n"/>
      <c r="C142" s="12" t="n"/>
      <c r="E142" s="12" t="n"/>
    </row>
    <row r="143">
      <c r="A143">
        <f>A142+1</f>
        <v/>
      </c>
      <c r="B143" s="12" t="n"/>
      <c r="C143" s="12" t="n"/>
      <c r="E143" s="12" t="n"/>
    </row>
    <row r="144">
      <c r="A144">
        <f>A143+1</f>
        <v/>
      </c>
      <c r="B144" s="12" t="n"/>
      <c r="C144" s="12" t="n"/>
      <c r="E144" s="12" t="n"/>
    </row>
    <row r="145">
      <c r="A145">
        <f>A144+1</f>
        <v/>
      </c>
      <c r="B145" s="12" t="n"/>
      <c r="C145" s="12" t="n"/>
      <c r="E145" s="12" t="n"/>
    </row>
    <row r="146">
      <c r="A146">
        <f>A145+1</f>
        <v/>
      </c>
      <c r="B146" s="12" t="n"/>
      <c r="C146" s="12" t="n"/>
      <c r="E146" s="12" t="n"/>
    </row>
    <row r="147">
      <c r="A147">
        <f>A146+1</f>
        <v/>
      </c>
      <c r="B147" s="12" t="n"/>
      <c r="C147" s="12" t="n"/>
      <c r="E147" s="12" t="n"/>
    </row>
    <row r="148">
      <c r="A148">
        <f>A147+1</f>
        <v/>
      </c>
      <c r="B148" s="12" t="n"/>
      <c r="C148" s="12" t="n"/>
      <c r="E148" s="12" t="n"/>
    </row>
    <row r="149">
      <c r="A149">
        <f>A148+1</f>
        <v/>
      </c>
      <c r="B149" s="12" t="n"/>
      <c r="C149" s="12" t="n"/>
      <c r="E149" s="12" t="n"/>
    </row>
    <row r="150">
      <c r="A150">
        <f>A149+1</f>
        <v/>
      </c>
      <c r="B150" s="12" t="n"/>
      <c r="C150" s="12" t="n"/>
      <c r="E150" s="12" t="n"/>
    </row>
    <row r="151">
      <c r="A151">
        <f>A150+1</f>
        <v/>
      </c>
      <c r="B151" s="12" t="n"/>
      <c r="C151" s="12" t="n"/>
      <c r="E151" s="12" t="n"/>
    </row>
    <row r="152">
      <c r="A152">
        <f>A151+1</f>
        <v/>
      </c>
      <c r="B152" s="12" t="n"/>
      <c r="C152" s="12" t="n"/>
      <c r="E152" s="12" t="n"/>
    </row>
    <row r="153">
      <c r="A153">
        <f>A152+1</f>
        <v/>
      </c>
      <c r="B153" s="12" t="n"/>
      <c r="C153" s="12" t="n"/>
      <c r="E153" s="12" t="n"/>
    </row>
    <row r="154">
      <c r="A154">
        <f>A153+1</f>
        <v/>
      </c>
      <c r="B154" s="12" t="n"/>
      <c r="C154" s="12" t="n"/>
      <c r="E154" s="12" t="n"/>
    </row>
    <row r="155">
      <c r="A155">
        <f>A154+1</f>
        <v/>
      </c>
      <c r="B155" s="12" t="n"/>
      <c r="C155" s="12" t="n"/>
      <c r="E155" s="12" t="n"/>
    </row>
    <row r="156">
      <c r="A156">
        <f>A155+1</f>
        <v/>
      </c>
      <c r="B156" s="12" t="n"/>
      <c r="C156" s="12" t="n"/>
      <c r="E156" s="12" t="n"/>
    </row>
    <row r="157">
      <c r="A157">
        <f>A156+1</f>
        <v/>
      </c>
      <c r="B157" s="12" t="n"/>
      <c r="C157" s="12" t="n"/>
      <c r="E157" s="12" t="n"/>
    </row>
    <row r="158">
      <c r="A158">
        <f>A157+1</f>
        <v/>
      </c>
      <c r="B158" s="12" t="n"/>
      <c r="C158" s="12" t="n"/>
      <c r="E158" s="12" t="n"/>
    </row>
    <row r="159">
      <c r="A159">
        <f>A158+1</f>
        <v/>
      </c>
      <c r="B159" s="12" t="n"/>
      <c r="C159" s="12" t="n"/>
      <c r="E159" s="12" t="n"/>
    </row>
    <row r="160">
      <c r="A160">
        <f>A159+1</f>
        <v/>
      </c>
      <c r="B160" s="12" t="n"/>
      <c r="C160" s="12" t="n"/>
      <c r="E160" s="12" t="n"/>
    </row>
    <row r="161">
      <c r="A161">
        <f>A160+1</f>
        <v/>
      </c>
      <c r="B161" s="12" t="n"/>
      <c r="C161" s="12" t="n"/>
      <c r="E161" s="12" t="n"/>
    </row>
    <row r="162">
      <c r="A162">
        <f>A161+1</f>
        <v/>
      </c>
      <c r="B162" s="12" t="n"/>
      <c r="C162" s="12" t="n"/>
      <c r="E162" s="12" t="n"/>
    </row>
    <row r="163">
      <c r="A163">
        <f>A162+1</f>
        <v/>
      </c>
      <c r="B163" s="12" t="n"/>
      <c r="C163" s="12" t="n"/>
      <c r="E163" s="12" t="n"/>
    </row>
    <row r="164">
      <c r="A164">
        <f>A163+1</f>
        <v/>
      </c>
      <c r="B164" s="12" t="n"/>
      <c r="C164" s="12" t="n"/>
      <c r="E164" s="12" t="n"/>
    </row>
    <row r="165">
      <c r="A165">
        <f>A164+1</f>
        <v/>
      </c>
      <c r="B165" s="12" t="n"/>
      <c r="C165" s="12" t="n"/>
      <c r="E165" s="12" t="n"/>
    </row>
    <row r="166">
      <c r="A166">
        <f>A165+1</f>
        <v/>
      </c>
      <c r="B166" s="12" t="n"/>
      <c r="C166" s="12" t="n"/>
      <c r="E166" s="12" t="n"/>
    </row>
    <row r="167">
      <c r="A167">
        <f>A166+1</f>
        <v/>
      </c>
      <c r="B167" s="12" t="n"/>
      <c r="C167" s="12" t="n"/>
      <c r="E167" s="12" t="n"/>
    </row>
    <row r="168">
      <c r="A168">
        <f>A167+1</f>
        <v/>
      </c>
      <c r="B168" s="12" t="n"/>
      <c r="C168" s="12" t="n"/>
      <c r="E168" s="12" t="n"/>
    </row>
    <row r="169">
      <c r="A169">
        <f>A168+1</f>
        <v/>
      </c>
      <c r="B169" s="12" t="n"/>
      <c r="C169" s="12" t="n"/>
      <c r="E169" s="12" t="n"/>
    </row>
    <row r="170">
      <c r="A170">
        <f>A169+1</f>
        <v/>
      </c>
      <c r="B170" s="12" t="n"/>
      <c r="C170" s="12" t="n"/>
      <c r="E170" s="12" t="n"/>
    </row>
    <row r="171">
      <c r="A171">
        <f>A170+1</f>
        <v/>
      </c>
      <c r="B171" s="12" t="n"/>
      <c r="C171" s="12" t="n"/>
      <c r="E171" s="12" t="n"/>
    </row>
    <row r="172">
      <c r="A172">
        <f>A171+1</f>
        <v/>
      </c>
      <c r="B172" s="12" t="n"/>
      <c r="C172" s="12" t="n"/>
      <c r="E172" s="12" t="n"/>
    </row>
    <row r="173">
      <c r="A173">
        <f>A172+1</f>
        <v/>
      </c>
      <c r="B173" s="12" t="n"/>
      <c r="C173" s="12" t="n"/>
      <c r="E173" s="12" t="n"/>
    </row>
    <row r="174">
      <c r="A174">
        <f>A173+1</f>
        <v/>
      </c>
      <c r="B174" s="12" t="n"/>
      <c r="C174" s="12" t="n"/>
      <c r="E174" s="12" t="n"/>
    </row>
    <row r="175">
      <c r="A175">
        <f>A174+1</f>
        <v/>
      </c>
      <c r="B175" s="12" t="n"/>
      <c r="C175" s="12" t="n"/>
      <c r="E175" s="12" t="n"/>
    </row>
    <row r="176">
      <c r="A176">
        <f>A175+1</f>
        <v/>
      </c>
      <c r="B176" s="12" t="n"/>
      <c r="C176" s="12" t="n"/>
      <c r="E176" s="12" t="n"/>
    </row>
    <row r="177">
      <c r="A177">
        <f>A176+1</f>
        <v/>
      </c>
      <c r="B177" s="12" t="n"/>
      <c r="C177" s="12" t="n"/>
      <c r="E177" s="12" t="n"/>
    </row>
    <row r="178">
      <c r="A178">
        <f>A177+1</f>
        <v/>
      </c>
      <c r="B178" s="12" t="n"/>
      <c r="C178" s="12" t="n"/>
      <c r="E178" s="12" t="n"/>
    </row>
    <row r="179">
      <c r="A179">
        <f>A178+1</f>
        <v/>
      </c>
      <c r="B179" s="12" t="n"/>
      <c r="C179" s="12" t="n"/>
      <c r="E179" s="12" t="n"/>
    </row>
    <row r="180">
      <c r="A180">
        <f>A179+1</f>
        <v/>
      </c>
      <c r="B180" s="12" t="n"/>
      <c r="C180" s="12" t="n"/>
      <c r="E180" s="12" t="n"/>
    </row>
    <row r="181">
      <c r="A181">
        <f>A180+1</f>
        <v/>
      </c>
      <c r="B181" s="12" t="n"/>
      <c r="C181" s="12" t="n"/>
      <c r="E181" s="12" t="n"/>
    </row>
    <row r="182">
      <c r="A182">
        <f>A181+1</f>
        <v/>
      </c>
      <c r="B182" s="12" t="n"/>
      <c r="C182" s="12" t="n"/>
      <c r="E182" s="12" t="n"/>
    </row>
    <row r="183">
      <c r="A183">
        <f>A182+1</f>
        <v/>
      </c>
      <c r="B183" s="12" t="n"/>
      <c r="C183" s="12" t="n"/>
      <c r="E183" s="12" t="n"/>
    </row>
    <row r="184">
      <c r="A184">
        <f>A183+1</f>
        <v/>
      </c>
      <c r="B184" s="12" t="n"/>
      <c r="C184" s="12" t="n"/>
      <c r="E184" s="12" t="n"/>
    </row>
    <row r="185">
      <c r="A185">
        <f>A184+1</f>
        <v/>
      </c>
      <c r="B185" s="12" t="n"/>
      <c r="C185" s="12" t="n"/>
      <c r="E185" s="12" t="n"/>
    </row>
    <row r="186">
      <c r="A186">
        <f>A185+1</f>
        <v/>
      </c>
      <c r="B186" s="12" t="n"/>
      <c r="C186" s="12" t="n"/>
      <c r="E186" s="12" t="n"/>
    </row>
    <row r="187">
      <c r="A187">
        <f>A186+1</f>
        <v/>
      </c>
      <c r="B187" s="12" t="n"/>
      <c r="C187" s="12" t="n"/>
      <c r="E187" s="12" t="n"/>
    </row>
    <row r="188">
      <c r="A188">
        <f>A187+1</f>
        <v/>
      </c>
      <c r="B188" s="12" t="n"/>
      <c r="C188" s="12" t="n"/>
      <c r="E188" s="12" t="n"/>
    </row>
    <row r="189">
      <c r="A189">
        <f>A188+1</f>
        <v/>
      </c>
      <c r="B189" s="12" t="n"/>
      <c r="C189" s="12" t="n"/>
      <c r="E189" s="12" t="n"/>
    </row>
    <row r="190">
      <c r="A190">
        <f>A189+1</f>
        <v/>
      </c>
      <c r="B190" s="12" t="n"/>
      <c r="C190" s="12" t="n"/>
      <c r="E190" s="12" t="n"/>
    </row>
    <row r="191">
      <c r="A191">
        <f>A190+1</f>
        <v/>
      </c>
      <c r="B191" s="12" t="n"/>
      <c r="C191" s="12" t="n"/>
      <c r="E191" s="12" t="n"/>
    </row>
    <row r="192">
      <c r="A192">
        <f>A191+1</f>
        <v/>
      </c>
      <c r="B192" s="12" t="n"/>
      <c r="C192" s="12" t="n"/>
      <c r="E192" s="12" t="n"/>
    </row>
    <row r="193">
      <c r="A193">
        <f>A192+1</f>
        <v/>
      </c>
      <c r="B193" s="12" t="n"/>
      <c r="C193" s="12" t="n"/>
      <c r="E193" s="12" t="n"/>
    </row>
    <row r="194">
      <c r="A194">
        <f>A193+1</f>
        <v/>
      </c>
      <c r="B194" s="12" t="n"/>
      <c r="C194" s="12" t="n"/>
      <c r="E194" s="12" t="n"/>
    </row>
    <row r="195">
      <c r="A195">
        <f>A194+1</f>
        <v/>
      </c>
      <c r="B195" s="12" t="n"/>
      <c r="C195" s="12" t="n"/>
      <c r="E195" s="12" t="n"/>
    </row>
    <row r="196">
      <c r="A196">
        <f>A195+1</f>
        <v/>
      </c>
      <c r="B196" s="12" t="n"/>
      <c r="C196" s="12" t="n"/>
      <c r="E196" s="12" t="n"/>
    </row>
    <row r="197">
      <c r="A197">
        <f>A196+1</f>
        <v/>
      </c>
      <c r="B197" s="12" t="n"/>
      <c r="C197" s="12" t="n"/>
      <c r="E197" s="12" t="n"/>
    </row>
    <row r="198">
      <c r="A198">
        <f>A197+1</f>
        <v/>
      </c>
      <c r="B198" s="12" t="n"/>
      <c r="C198" s="12" t="n"/>
      <c r="E198" s="12" t="n"/>
    </row>
    <row r="199">
      <c r="A199">
        <f>A198+1</f>
        <v/>
      </c>
      <c r="B199" s="12" t="n"/>
      <c r="C199" s="12" t="n"/>
      <c r="E199" s="12" t="n"/>
    </row>
    <row r="200">
      <c r="A200">
        <f>A199+1</f>
        <v/>
      </c>
      <c r="B200" s="12" t="n"/>
      <c r="C200" s="12" t="n"/>
      <c r="E200" s="12" t="n"/>
    </row>
    <row r="201">
      <c r="A201">
        <f>A200+1</f>
        <v/>
      </c>
      <c r="B201" s="12" t="n"/>
      <c r="C201" s="12" t="n"/>
      <c r="E201" s="12" t="n"/>
    </row>
    <row r="202">
      <c r="A202">
        <f>A201+1</f>
        <v/>
      </c>
      <c r="B202" s="12" t="n"/>
      <c r="C202" s="12" t="n"/>
      <c r="E202" s="12" t="n"/>
    </row>
    <row r="203">
      <c r="A203">
        <f>A202+1</f>
        <v/>
      </c>
      <c r="B203" s="12" t="n"/>
      <c r="C203" s="12" t="n"/>
      <c r="E203" s="12" t="n"/>
    </row>
    <row r="204">
      <c r="A204">
        <f>A203+1</f>
        <v/>
      </c>
      <c r="B204" s="12" t="n"/>
      <c r="C204" s="12" t="n"/>
      <c r="E204" s="12" t="n"/>
    </row>
    <row r="205">
      <c r="A205">
        <f>A204+1</f>
        <v/>
      </c>
      <c r="B205" s="12" t="n"/>
      <c r="C205" s="12" t="n"/>
      <c r="E205" s="12" t="n"/>
    </row>
    <row r="206">
      <c r="A206">
        <f>A205+1</f>
        <v/>
      </c>
      <c r="B206" s="12" t="n"/>
      <c r="C206" s="12" t="n"/>
      <c r="E206" s="12" t="n"/>
    </row>
    <row r="207">
      <c r="A207">
        <f>A206+1</f>
        <v/>
      </c>
      <c r="B207" s="12" t="n"/>
      <c r="C207" s="12" t="n"/>
      <c r="E207" s="12" t="n"/>
    </row>
    <row r="208">
      <c r="A208">
        <f>A207+1</f>
        <v/>
      </c>
      <c r="B208" s="12" t="n"/>
      <c r="C208" s="12" t="n"/>
      <c r="E208" s="12" t="n"/>
    </row>
    <row r="209">
      <c r="A209">
        <f>A208+1</f>
        <v/>
      </c>
      <c r="B209" s="12" t="n"/>
      <c r="C209" s="12" t="n"/>
      <c r="E209" s="12" t="n"/>
    </row>
    <row r="210">
      <c r="A210">
        <f>A209+1</f>
        <v/>
      </c>
      <c r="B210" s="12" t="n"/>
      <c r="C210" s="12" t="n"/>
      <c r="E210" s="12" t="n"/>
    </row>
    <row r="211">
      <c r="A211">
        <f>A210+1</f>
        <v/>
      </c>
      <c r="B211" s="12" t="n"/>
      <c r="C211" s="12" t="n"/>
      <c r="E211" s="12" t="n"/>
    </row>
    <row r="212">
      <c r="A212">
        <f>A211+1</f>
        <v/>
      </c>
      <c r="B212" s="12" t="n"/>
      <c r="C212" s="12" t="n"/>
      <c r="E212" s="12" t="n"/>
    </row>
    <row r="213">
      <c r="A213">
        <f>A212+1</f>
        <v/>
      </c>
      <c r="B213" s="12" t="n"/>
      <c r="C213" s="12" t="n"/>
      <c r="E213" s="12" t="n"/>
    </row>
    <row r="214">
      <c r="A214">
        <f>A213+1</f>
        <v/>
      </c>
      <c r="B214" s="12" t="n"/>
      <c r="C214" s="12" t="n"/>
      <c r="E214" s="12" t="n"/>
    </row>
    <row r="215">
      <c r="A215">
        <f>A214+1</f>
        <v/>
      </c>
      <c r="B215" s="12" t="n"/>
      <c r="C215" s="12" t="n"/>
      <c r="E215" s="12" t="n"/>
    </row>
    <row r="216">
      <c r="A216">
        <f>A215+1</f>
        <v/>
      </c>
      <c r="B216" s="12" t="n"/>
      <c r="C216" s="12" t="n"/>
      <c r="E216" s="12" t="n"/>
    </row>
    <row r="217">
      <c r="A217">
        <f>A216+1</f>
        <v/>
      </c>
      <c r="B217" s="12" t="n"/>
      <c r="C217" s="12" t="n"/>
      <c r="E217" s="12" t="n"/>
    </row>
    <row r="218">
      <c r="A218">
        <f>A217+1</f>
        <v/>
      </c>
      <c r="B218" s="12" t="n"/>
      <c r="C218" s="12" t="n"/>
      <c r="E218" s="12" t="n"/>
    </row>
    <row r="219">
      <c r="A219">
        <f>A218+1</f>
        <v/>
      </c>
      <c r="B219" s="12" t="n"/>
      <c r="C219" s="12" t="n"/>
      <c r="E219" s="12" t="n"/>
    </row>
    <row r="220">
      <c r="A220">
        <f>A219+1</f>
        <v/>
      </c>
      <c r="B220" s="12" t="n"/>
      <c r="C220" s="12" t="n"/>
      <c r="E220" s="12" t="n"/>
    </row>
    <row r="221">
      <c r="A221">
        <f>A220+1</f>
        <v/>
      </c>
      <c r="B221" s="12" t="n"/>
      <c r="C221" s="12" t="n"/>
      <c r="E221" s="12" t="n"/>
    </row>
    <row r="222">
      <c r="A222">
        <f>A221+1</f>
        <v/>
      </c>
      <c r="B222" s="12" t="n"/>
      <c r="C222" s="12" t="n"/>
      <c r="E222" s="12" t="n"/>
    </row>
    <row r="223">
      <c r="A223">
        <f>A222+1</f>
        <v/>
      </c>
      <c r="B223" s="12" t="n"/>
      <c r="C223" s="12" t="n"/>
      <c r="E223" s="12" t="n"/>
    </row>
    <row r="224">
      <c r="A224">
        <f>A223+1</f>
        <v/>
      </c>
      <c r="B224" s="12" t="n"/>
      <c r="C224" s="12" t="n"/>
      <c r="E224" s="12" t="n"/>
    </row>
    <row r="225">
      <c r="A225">
        <f>A224+1</f>
        <v/>
      </c>
      <c r="B225" s="12" t="n"/>
      <c r="C225" s="12" t="n"/>
      <c r="E225" s="12" t="n"/>
    </row>
    <row r="226">
      <c r="A226">
        <f>A225+1</f>
        <v/>
      </c>
      <c r="B226" s="12" t="n"/>
      <c r="C226" s="12" t="n"/>
      <c r="E226" s="12" t="n"/>
    </row>
    <row r="227">
      <c r="A227">
        <f>A226+1</f>
        <v/>
      </c>
      <c r="B227" s="12" t="n"/>
      <c r="C227" s="12" t="n"/>
      <c r="E227" s="12" t="n"/>
    </row>
    <row r="228">
      <c r="A228">
        <f>A227+1</f>
        <v/>
      </c>
      <c r="B228" s="12" t="n"/>
      <c r="C228" s="12" t="n"/>
      <c r="E228" s="12" t="n"/>
    </row>
    <row r="229">
      <c r="A229">
        <f>A228+1</f>
        <v/>
      </c>
      <c r="B229" s="12" t="n"/>
      <c r="C229" s="12" t="n"/>
      <c r="E229" s="12" t="n"/>
    </row>
    <row r="230">
      <c r="A230">
        <f>A229+1</f>
        <v/>
      </c>
      <c r="B230" s="12" t="n"/>
      <c r="C230" s="12" t="n"/>
      <c r="E230" s="12" t="n"/>
    </row>
    <row r="231">
      <c r="A231">
        <f>A230+1</f>
        <v/>
      </c>
      <c r="B231" s="12" t="n"/>
      <c r="C231" s="12" t="n"/>
      <c r="E231" s="12" t="n"/>
    </row>
    <row r="232">
      <c r="A232">
        <f>A231+1</f>
        <v/>
      </c>
      <c r="B232" s="12" t="n"/>
      <c r="C232" s="12" t="n"/>
      <c r="E232" s="12" t="n"/>
    </row>
    <row r="233">
      <c r="A233">
        <f>A232+1</f>
        <v/>
      </c>
      <c r="B233" s="12" t="n"/>
      <c r="C233" s="12" t="n"/>
      <c r="E233" s="12" t="n"/>
    </row>
    <row r="234">
      <c r="A234">
        <f>A233+1</f>
        <v/>
      </c>
      <c r="B234" s="12" t="n"/>
      <c r="C234" s="12" t="n"/>
      <c r="E234" s="12" t="n"/>
    </row>
    <row r="235">
      <c r="A235">
        <f>A234+1</f>
        <v/>
      </c>
      <c r="B235" s="12" t="n"/>
      <c r="C235" s="12" t="n"/>
      <c r="E235" s="12" t="n"/>
    </row>
    <row r="236">
      <c r="A236">
        <f>A235+1</f>
        <v/>
      </c>
      <c r="B236" s="12" t="n"/>
      <c r="C236" s="12" t="n"/>
      <c r="E236" s="12" t="n"/>
    </row>
    <row r="237">
      <c r="A237">
        <f>A236+1</f>
        <v/>
      </c>
      <c r="B237" s="12" t="n"/>
      <c r="C237" s="12" t="n"/>
      <c r="E237" s="12" t="n"/>
    </row>
    <row r="238">
      <c r="A238">
        <f>A237+1</f>
        <v/>
      </c>
      <c r="B238" s="12" t="n"/>
      <c r="C238" s="12" t="n"/>
      <c r="E238" s="12" t="n"/>
    </row>
    <row r="239">
      <c r="A239">
        <f>A238+1</f>
        <v/>
      </c>
      <c r="B239" s="12" t="n"/>
      <c r="C239" s="12" t="n"/>
      <c r="E239" s="12" t="n"/>
    </row>
    <row r="240">
      <c r="A240">
        <f>A239+1</f>
        <v/>
      </c>
      <c r="B240" s="12" t="n"/>
      <c r="C240" s="12" t="n"/>
      <c r="E240" s="12" t="n"/>
    </row>
    <row r="241">
      <c r="A241">
        <f>A240+1</f>
        <v/>
      </c>
      <c r="B241" s="12" t="n"/>
      <c r="C241" s="12" t="n"/>
      <c r="E241" s="12" t="n"/>
    </row>
    <row r="242">
      <c r="A242">
        <f>A241+1</f>
        <v/>
      </c>
      <c r="B242" s="12" t="n"/>
      <c r="C242" s="12" t="n"/>
      <c r="E242" s="12" t="n"/>
    </row>
    <row r="243">
      <c r="A243">
        <f>A242+1</f>
        <v/>
      </c>
      <c r="B243" s="12" t="n"/>
      <c r="C243" s="12" t="n"/>
      <c r="E243" s="12" t="n"/>
    </row>
    <row r="244">
      <c r="A244">
        <f>A243+1</f>
        <v/>
      </c>
      <c r="B244" s="12" t="n"/>
      <c r="C244" s="12" t="n"/>
      <c r="E244" s="12" t="n"/>
    </row>
    <row r="245">
      <c r="A245">
        <f>A244+1</f>
        <v/>
      </c>
      <c r="B245" s="12" t="n"/>
      <c r="C245" s="12" t="n"/>
      <c r="E245" s="12" t="n"/>
    </row>
    <row r="246">
      <c r="A246">
        <f>A245+1</f>
        <v/>
      </c>
      <c r="B246" s="12" t="n"/>
      <c r="C246" s="12" t="n"/>
      <c r="E246" s="12" t="n"/>
    </row>
    <row r="247">
      <c r="A247">
        <f>A246+1</f>
        <v/>
      </c>
      <c r="B247" s="12" t="n"/>
      <c r="C247" s="12" t="n"/>
      <c r="E247" s="12" t="n"/>
    </row>
    <row r="248">
      <c r="A248">
        <f>A247+1</f>
        <v/>
      </c>
      <c r="B248" s="12" t="n"/>
      <c r="C248" s="12" t="n"/>
      <c r="E248" s="12" t="n"/>
    </row>
    <row r="249">
      <c r="A249">
        <f>A248+1</f>
        <v/>
      </c>
      <c r="B249" s="12" t="n"/>
      <c r="C249" s="12" t="n"/>
      <c r="E249" s="12" t="n"/>
    </row>
    <row r="250">
      <c r="A250">
        <f>A249+1</f>
        <v/>
      </c>
      <c r="B250" s="12" t="n"/>
      <c r="C250" s="12" t="n"/>
      <c r="E250" s="12" t="n"/>
    </row>
    <row r="251">
      <c r="A251">
        <f>A250+1</f>
        <v/>
      </c>
      <c r="B251" s="12" t="n"/>
      <c r="C251" s="12" t="n"/>
      <c r="E251" s="12" t="n"/>
    </row>
    <row r="252">
      <c r="A252">
        <f>A251+1</f>
        <v/>
      </c>
      <c r="B252" s="12" t="n"/>
      <c r="C252" s="12" t="n"/>
      <c r="E252" s="12" t="n"/>
    </row>
    <row r="253">
      <c r="A253">
        <f>A252+1</f>
        <v/>
      </c>
      <c r="B253" s="12" t="n"/>
      <c r="C253" s="12" t="n"/>
      <c r="E253" s="12" t="n"/>
    </row>
    <row r="254">
      <c r="A254">
        <f>A253+1</f>
        <v/>
      </c>
      <c r="B254" s="12" t="n"/>
      <c r="C254" s="12" t="n"/>
      <c r="E254" s="12" t="n"/>
    </row>
    <row r="255">
      <c r="A255">
        <f>A254+1</f>
        <v/>
      </c>
      <c r="B255" s="12" t="n"/>
      <c r="C255" s="12" t="n"/>
      <c r="E255" s="12" t="n"/>
    </row>
    <row r="256">
      <c r="A256">
        <f>A255+1</f>
        <v/>
      </c>
      <c r="B256" s="12" t="n"/>
      <c r="C256" s="12" t="n"/>
      <c r="E256" s="12" t="n"/>
    </row>
    <row r="257">
      <c r="A257">
        <f>A256+1</f>
        <v/>
      </c>
      <c r="B257" s="12" t="n"/>
      <c r="C257" s="12" t="n"/>
      <c r="E257" s="12" t="n"/>
    </row>
    <row r="258">
      <c r="A258">
        <f>A257+1</f>
        <v/>
      </c>
      <c r="B258" s="12" t="n"/>
      <c r="C258" s="12" t="n"/>
      <c r="E258" s="12" t="n"/>
    </row>
    <row r="259">
      <c r="A259">
        <f>A258+1</f>
        <v/>
      </c>
      <c r="B259" s="12" t="n"/>
      <c r="C259" s="12" t="n"/>
      <c r="E259" s="12" t="n"/>
    </row>
    <row r="260">
      <c r="A260">
        <f>A259+1</f>
        <v/>
      </c>
      <c r="B260" s="12" t="n"/>
      <c r="C260" s="12" t="n"/>
      <c r="E260" s="12" t="n"/>
    </row>
    <row r="261">
      <c r="A261">
        <f>A260+1</f>
        <v/>
      </c>
      <c r="B261" s="12" t="n"/>
      <c r="C261" s="12" t="n"/>
      <c r="E261" s="12" t="n"/>
    </row>
    <row r="262">
      <c r="A262">
        <f>A261+1</f>
        <v/>
      </c>
      <c r="B262" s="12" t="n"/>
      <c r="C262" s="12" t="n"/>
      <c r="E262" s="12" t="n"/>
    </row>
    <row r="263">
      <c r="A263">
        <f>A262+1</f>
        <v/>
      </c>
      <c r="B263" s="12" t="n"/>
      <c r="C263" s="12" t="n"/>
      <c r="E263" s="12" t="n"/>
    </row>
    <row r="264">
      <c r="A264">
        <f>A263+1</f>
        <v/>
      </c>
      <c r="B264" s="12" t="n"/>
      <c r="C264" s="12" t="n"/>
      <c r="E264" s="12" t="n"/>
    </row>
    <row r="265">
      <c r="A265">
        <f>A264+1</f>
        <v/>
      </c>
      <c r="B265" s="12" t="n"/>
      <c r="C265" s="12" t="n"/>
      <c r="E265" s="12" t="n"/>
    </row>
    <row r="266">
      <c r="A266">
        <f>A265+1</f>
        <v/>
      </c>
      <c r="B266" s="12" t="n"/>
      <c r="C266" s="12" t="n"/>
      <c r="E266" s="12" t="n"/>
    </row>
    <row r="267">
      <c r="A267">
        <f>A266+1</f>
        <v/>
      </c>
      <c r="B267" s="12" t="n"/>
      <c r="C267" s="12" t="n"/>
      <c r="E267" s="12" t="n"/>
    </row>
    <row r="268">
      <c r="A268">
        <f>A267+1</f>
        <v/>
      </c>
      <c r="B268" s="12" t="n"/>
      <c r="C268" s="12" t="n"/>
      <c r="E268" s="12" t="n"/>
    </row>
    <row r="269">
      <c r="A269">
        <f>A268+1</f>
        <v/>
      </c>
      <c r="B269" s="12" t="n"/>
      <c r="C269" s="12" t="n"/>
      <c r="E269" s="12" t="n"/>
    </row>
    <row r="270">
      <c r="A270">
        <f>A269+1</f>
        <v/>
      </c>
      <c r="B270" s="12" t="n"/>
      <c r="C270" s="12" t="n"/>
      <c r="E270" s="12" t="n"/>
    </row>
    <row r="271">
      <c r="A271">
        <f>A270+1</f>
        <v/>
      </c>
      <c r="B271" s="12" t="n"/>
      <c r="C271" s="12" t="n"/>
      <c r="E271" s="12" t="n"/>
    </row>
    <row r="272">
      <c r="A272">
        <f>A271+1</f>
        <v/>
      </c>
      <c r="B272" s="12" t="n"/>
      <c r="C272" s="12" t="n"/>
      <c r="E272" s="12" t="n"/>
    </row>
    <row r="273">
      <c r="A273">
        <f>A272+1</f>
        <v/>
      </c>
      <c r="B273" s="12" t="n"/>
      <c r="C273" s="12" t="n"/>
      <c r="E273" s="12" t="n"/>
    </row>
    <row r="274">
      <c r="A274">
        <f>A273+1</f>
        <v/>
      </c>
      <c r="B274" s="12" t="n"/>
      <c r="C274" s="12" t="n"/>
      <c r="E274" s="12" t="n"/>
    </row>
    <row r="275">
      <c r="A275">
        <f>A274+1</f>
        <v/>
      </c>
      <c r="B275" s="12" t="n"/>
      <c r="C275" s="12" t="n"/>
      <c r="E275" s="12" t="n"/>
    </row>
    <row r="276">
      <c r="A276">
        <f>A275+1</f>
        <v/>
      </c>
      <c r="B276" s="12" t="n"/>
      <c r="C276" s="12" t="n"/>
      <c r="E276" s="12" t="n"/>
    </row>
    <row r="277">
      <c r="A277">
        <f>A276+1</f>
        <v/>
      </c>
      <c r="B277" s="12" t="n"/>
      <c r="C277" s="12" t="n"/>
      <c r="E277" s="12" t="n"/>
    </row>
    <row r="278">
      <c r="A278">
        <f>A277+1</f>
        <v/>
      </c>
      <c r="B278" s="12" t="n"/>
      <c r="C278" s="12" t="n"/>
      <c r="E278" s="12" t="n"/>
    </row>
    <row r="279">
      <c r="A279">
        <f>A278+1</f>
        <v/>
      </c>
      <c r="B279" s="12" t="n"/>
      <c r="C279" s="12" t="n"/>
      <c r="E279" s="12" t="n"/>
    </row>
    <row r="280">
      <c r="A280">
        <f>A279+1</f>
        <v/>
      </c>
      <c r="B280" s="12" t="n"/>
      <c r="C280" s="12" t="n"/>
      <c r="E280" s="12" t="n"/>
    </row>
    <row r="281">
      <c r="A281">
        <f>A280+1</f>
        <v/>
      </c>
      <c r="B281" s="12" t="n"/>
      <c r="C281" s="12" t="n"/>
      <c r="E281" s="12" t="n"/>
    </row>
    <row r="282">
      <c r="A282">
        <f>A281+1</f>
        <v/>
      </c>
      <c r="B282" s="12" t="n"/>
      <c r="C282" s="12" t="n"/>
      <c r="E282" s="12" t="n"/>
    </row>
    <row r="283">
      <c r="A283">
        <f>A282+1</f>
        <v/>
      </c>
      <c r="B283" s="12" t="n"/>
      <c r="C283" s="12" t="n"/>
      <c r="E283" s="12" t="n"/>
    </row>
    <row r="284">
      <c r="A284">
        <f>A283+1</f>
        <v/>
      </c>
      <c r="B284" s="12" t="n"/>
      <c r="C284" s="12" t="n"/>
      <c r="E284" s="12" t="n"/>
    </row>
    <row r="285">
      <c r="A285">
        <f>A284+1</f>
        <v/>
      </c>
      <c r="B285" s="12" t="n"/>
      <c r="C285" s="12" t="n"/>
      <c r="E285" s="12" t="n"/>
    </row>
    <row r="286">
      <c r="A286">
        <f>A285+1</f>
        <v/>
      </c>
      <c r="B286" s="12" t="n"/>
      <c r="C286" s="12" t="n"/>
      <c r="E286" s="12" t="n"/>
    </row>
    <row r="287">
      <c r="A287">
        <f>A286+1</f>
        <v/>
      </c>
      <c r="B287" s="12" t="n"/>
      <c r="C287" s="12" t="n"/>
      <c r="E287" s="12" t="n"/>
    </row>
    <row r="288">
      <c r="A288">
        <f>A287+1</f>
        <v/>
      </c>
      <c r="B288" s="12" t="n"/>
      <c r="C288" s="12" t="n"/>
      <c r="E288" s="12" t="n"/>
    </row>
    <row r="289">
      <c r="A289">
        <f>A288+1</f>
        <v/>
      </c>
      <c r="B289" s="12" t="n"/>
      <c r="C289" s="12" t="n"/>
      <c r="E289" s="12" t="n"/>
    </row>
    <row r="290">
      <c r="A290">
        <f>A289+1</f>
        <v/>
      </c>
      <c r="B290" s="12" t="n"/>
      <c r="C290" s="12" t="n"/>
      <c r="E290" s="12" t="n"/>
    </row>
    <row r="291">
      <c r="A291">
        <f>A290+1</f>
        <v/>
      </c>
      <c r="B291" s="12" t="n"/>
      <c r="C291" s="12" t="n"/>
      <c r="E291" s="12" t="n"/>
    </row>
    <row r="292">
      <c r="A292">
        <f>A291+1</f>
        <v/>
      </c>
      <c r="B292" s="12" t="n"/>
      <c r="C292" s="12" t="n"/>
      <c r="E292" s="12" t="n"/>
    </row>
    <row r="293">
      <c r="A293">
        <f>A292+1</f>
        <v/>
      </c>
      <c r="B293" s="12" t="n"/>
      <c r="C293" s="12" t="n"/>
      <c r="E293" s="12" t="n"/>
    </row>
    <row r="294">
      <c r="A294">
        <f>A293+1</f>
        <v/>
      </c>
      <c r="B294" s="12" t="n"/>
      <c r="C294" s="12" t="n"/>
      <c r="E294" s="12" t="n"/>
    </row>
    <row r="295">
      <c r="A295">
        <f>A294+1</f>
        <v/>
      </c>
      <c r="B295" s="12" t="n"/>
      <c r="C295" s="12" t="n"/>
      <c r="E295" s="12" t="n"/>
    </row>
    <row r="296">
      <c r="A296">
        <f>A295+1</f>
        <v/>
      </c>
      <c r="B296" s="12" t="n"/>
      <c r="C296" s="12" t="n"/>
      <c r="E296" s="12" t="n"/>
    </row>
    <row r="297">
      <c r="A297">
        <f>A296+1</f>
        <v/>
      </c>
      <c r="B297" s="12" t="n"/>
      <c r="C297" s="12" t="n"/>
      <c r="E297" s="12" t="n"/>
    </row>
    <row r="298">
      <c r="A298">
        <f>A297+1</f>
        <v/>
      </c>
      <c r="B298" s="12" t="n"/>
      <c r="C298" s="12" t="n"/>
      <c r="E298" s="12" t="n"/>
    </row>
    <row r="299">
      <c r="A299">
        <f>A298+1</f>
        <v/>
      </c>
      <c r="B299" s="12" t="n"/>
      <c r="C299" s="12" t="n"/>
      <c r="E299" s="12" t="n"/>
    </row>
    <row r="300">
      <c r="A300">
        <f>A299+1</f>
        <v/>
      </c>
      <c r="B300" s="12" t="n"/>
      <c r="C300" s="12" t="n"/>
      <c r="E300" s="12" t="n"/>
    </row>
    <row r="301">
      <c r="A301">
        <f>A300+1</f>
        <v/>
      </c>
      <c r="B301" s="12" t="n"/>
      <c r="C301" s="12" t="n"/>
      <c r="E301" s="12" t="n"/>
    </row>
    <row r="302">
      <c r="A302">
        <f>A301+1</f>
        <v/>
      </c>
      <c r="B302" s="12" t="n"/>
      <c r="C302" s="12" t="n"/>
      <c r="E302" s="12" t="n"/>
    </row>
    <row r="303">
      <c r="A303">
        <f>A302+1</f>
        <v/>
      </c>
      <c r="B303" s="12" t="n"/>
      <c r="C303" s="12" t="n"/>
      <c r="E303" s="12" t="n"/>
    </row>
    <row r="304">
      <c r="A304">
        <f>A303+1</f>
        <v/>
      </c>
      <c r="B304" s="12" t="n"/>
      <c r="C304" s="12" t="n"/>
      <c r="E304" s="12" t="n"/>
    </row>
    <row r="305">
      <c r="A305">
        <f>A304+1</f>
        <v/>
      </c>
      <c r="B305" s="12" t="n"/>
      <c r="C305" s="12" t="n"/>
      <c r="E305" s="12" t="n"/>
    </row>
    <row r="306">
      <c r="A306">
        <f>A305+1</f>
        <v/>
      </c>
      <c r="B306" s="12" t="n"/>
      <c r="C306" s="12" t="n"/>
      <c r="E306" s="12" t="n"/>
    </row>
    <row r="307">
      <c r="A307">
        <f>A306+1</f>
        <v/>
      </c>
      <c r="B307" s="12" t="n"/>
      <c r="C307" s="12" t="n"/>
      <c r="E307" s="12" t="n"/>
    </row>
    <row r="308">
      <c r="A308">
        <f>A307+1</f>
        <v/>
      </c>
      <c r="B308" s="12" t="n"/>
      <c r="C308" s="12" t="n"/>
      <c r="E308" s="12" t="n"/>
    </row>
    <row r="309">
      <c r="A309">
        <f>A308+1</f>
        <v/>
      </c>
      <c r="B309" s="12" t="n"/>
      <c r="C309" s="12" t="n"/>
      <c r="E309" s="12" t="n"/>
    </row>
    <row r="310">
      <c r="A310">
        <f>A309+1</f>
        <v/>
      </c>
      <c r="B310" s="12" t="n"/>
      <c r="C310" s="12" t="n"/>
      <c r="E310" s="12" t="n"/>
    </row>
    <row r="311">
      <c r="A311">
        <f>A310+1</f>
        <v/>
      </c>
      <c r="B311" s="12" t="n"/>
      <c r="C311" s="12" t="n"/>
      <c r="E311" s="12" t="n"/>
    </row>
    <row r="312">
      <c r="A312">
        <f>A311+1</f>
        <v/>
      </c>
      <c r="B312" s="12" t="n"/>
      <c r="C312" s="12" t="n"/>
      <c r="E312" s="12" t="n"/>
    </row>
    <row r="313">
      <c r="A313">
        <f>A312+1</f>
        <v/>
      </c>
      <c r="B313" s="12" t="n"/>
      <c r="C313" s="12" t="n"/>
      <c r="E313" s="12" t="n"/>
    </row>
    <row r="314">
      <c r="A314">
        <f>A313+1</f>
        <v/>
      </c>
      <c r="B314" s="12" t="n"/>
      <c r="C314" s="12" t="n"/>
      <c r="E314" s="12" t="n"/>
    </row>
    <row r="315">
      <c r="A315">
        <f>A314+1</f>
        <v/>
      </c>
      <c r="B315" s="12" t="n"/>
      <c r="C315" s="12" t="n"/>
      <c r="E315" s="12" t="n"/>
    </row>
    <row r="316">
      <c r="A316">
        <f>A315+1</f>
        <v/>
      </c>
      <c r="B316" s="12" t="n"/>
      <c r="C316" s="12" t="n"/>
      <c r="E316" s="12" t="n"/>
    </row>
    <row r="317">
      <c r="A317">
        <f>A316+1</f>
        <v/>
      </c>
      <c r="B317" s="12" t="n"/>
      <c r="C317" s="12" t="n"/>
      <c r="E317" s="12" t="n"/>
    </row>
    <row r="318">
      <c r="A318">
        <f>A317+1</f>
        <v/>
      </c>
      <c r="B318" s="12" t="n"/>
      <c r="C318" s="12" t="n"/>
      <c r="E318" s="12" t="n"/>
    </row>
    <row r="319">
      <c r="A319">
        <f>A318+1</f>
        <v/>
      </c>
      <c r="B319" s="12" t="n"/>
      <c r="C319" s="12" t="n"/>
      <c r="E319" s="12" t="n"/>
    </row>
    <row r="320">
      <c r="A320">
        <f>A319+1</f>
        <v/>
      </c>
      <c r="B320" s="12" t="n"/>
      <c r="C320" s="12" t="n"/>
      <c r="E320" s="12" t="n"/>
    </row>
    <row r="321">
      <c r="A321">
        <f>A320+1</f>
        <v/>
      </c>
      <c r="B321" s="12" t="n"/>
      <c r="C321" s="12" t="n"/>
      <c r="E321" s="12" t="n"/>
    </row>
    <row r="322">
      <c r="A322">
        <f>A321+1</f>
        <v/>
      </c>
      <c r="B322" s="12" t="n"/>
      <c r="C322" s="12" t="n"/>
      <c r="E322" s="12" t="n"/>
    </row>
    <row r="323">
      <c r="A323">
        <f>A322+1</f>
        <v/>
      </c>
      <c r="B323" s="12" t="n"/>
      <c r="C323" s="12" t="n"/>
      <c r="E323" s="12" t="n"/>
    </row>
    <row r="324">
      <c r="A324">
        <f>A323+1</f>
        <v/>
      </c>
      <c r="B324" s="12" t="n"/>
      <c r="C324" s="12" t="n"/>
      <c r="E324" s="12" t="n"/>
    </row>
    <row r="325">
      <c r="A325">
        <f>A324+1</f>
        <v/>
      </c>
      <c r="B325" s="12" t="n"/>
      <c r="C325" s="12" t="n"/>
      <c r="E325" s="12" t="n"/>
    </row>
    <row r="326">
      <c r="A326">
        <f>A325+1</f>
        <v/>
      </c>
      <c r="B326" s="12" t="n"/>
      <c r="C326" s="12" t="n"/>
      <c r="E326" s="12" t="n"/>
    </row>
    <row r="327">
      <c r="A327">
        <f>A326+1</f>
        <v/>
      </c>
      <c r="B327" s="12" t="n"/>
      <c r="C327" s="12" t="n"/>
      <c r="E327" s="12" t="n"/>
    </row>
    <row r="328">
      <c r="A328">
        <f>A327+1</f>
        <v/>
      </c>
      <c r="B328" s="12" t="n"/>
      <c r="C328" s="12" t="n"/>
      <c r="E328" s="12" t="n"/>
    </row>
    <row r="329">
      <c r="A329">
        <f>A328+1</f>
        <v/>
      </c>
      <c r="B329" s="12" t="n"/>
      <c r="C329" s="12" t="n"/>
      <c r="E329" s="12" t="n"/>
    </row>
    <row r="330">
      <c r="A330">
        <f>A329+1</f>
        <v/>
      </c>
      <c r="B330" s="12" t="n"/>
      <c r="C330" s="12" t="n"/>
      <c r="E330" s="12" t="n"/>
    </row>
    <row r="331">
      <c r="A331">
        <f>A330+1</f>
        <v/>
      </c>
      <c r="B331" s="12" t="n"/>
      <c r="C331" s="12" t="n"/>
      <c r="E331" s="12" t="n"/>
    </row>
    <row r="332">
      <c r="A332">
        <f>A331+1</f>
        <v/>
      </c>
      <c r="B332" s="12" t="n"/>
      <c r="C332" s="12" t="n"/>
      <c r="E332" s="12" t="n"/>
    </row>
    <row r="333">
      <c r="A333">
        <f>A332+1</f>
        <v/>
      </c>
      <c r="B333" s="12" t="n"/>
      <c r="C333" s="12" t="n"/>
      <c r="E333" s="12" t="n"/>
    </row>
    <row r="334">
      <c r="A334">
        <f>A333+1</f>
        <v/>
      </c>
      <c r="B334" s="12" t="n"/>
      <c r="C334" s="12" t="n"/>
      <c r="E334" s="12" t="n"/>
    </row>
    <row r="335">
      <c r="A335">
        <f>A334+1</f>
        <v/>
      </c>
      <c r="B335" s="12" t="n"/>
      <c r="C335" s="12" t="n"/>
      <c r="E335" s="12" t="n"/>
    </row>
    <row r="336">
      <c r="A336">
        <f>A335+1</f>
        <v/>
      </c>
      <c r="B336" s="12" t="n"/>
      <c r="C336" s="12" t="n"/>
      <c r="E336" s="12" t="n"/>
    </row>
    <row r="337">
      <c r="A337">
        <f>A336+1</f>
        <v/>
      </c>
      <c r="B337" s="12" t="n"/>
      <c r="C337" s="12" t="n"/>
      <c r="E337" s="12" t="n"/>
    </row>
    <row r="338">
      <c r="A338">
        <f>A337+1</f>
        <v/>
      </c>
      <c r="B338" s="12" t="n"/>
      <c r="C338" s="12" t="n"/>
      <c r="E338" s="12" t="n"/>
    </row>
    <row r="339">
      <c r="A339">
        <f>A338+1</f>
        <v/>
      </c>
      <c r="B339" s="12" t="n"/>
      <c r="C339" s="12" t="n"/>
      <c r="E339" s="12" t="n"/>
    </row>
    <row r="340">
      <c r="A340">
        <f>A339+1</f>
        <v/>
      </c>
      <c r="B340" s="12" t="n"/>
      <c r="C340" s="12" t="n"/>
      <c r="E340" s="12" t="n"/>
    </row>
    <row r="341">
      <c r="A341">
        <f>A340+1</f>
        <v/>
      </c>
      <c r="B341" s="12" t="n"/>
      <c r="C341" s="12" t="n"/>
      <c r="E341" s="12" t="n"/>
    </row>
    <row r="342">
      <c r="A342">
        <f>A341+1</f>
        <v/>
      </c>
      <c r="B342" s="12" t="n"/>
      <c r="C342" s="12" t="n"/>
      <c r="E342" s="12" t="n"/>
    </row>
    <row r="343">
      <c r="A343">
        <f>A342+1</f>
        <v/>
      </c>
      <c r="B343" s="12" t="n"/>
      <c r="C343" s="12" t="n"/>
      <c r="E343" s="12" t="n"/>
    </row>
    <row r="344">
      <c r="A344">
        <f>A343+1</f>
        <v/>
      </c>
      <c r="B344" s="12" t="n"/>
      <c r="C344" s="12" t="n"/>
      <c r="E344" s="12" t="n"/>
    </row>
    <row r="345">
      <c r="A345">
        <f>A344+1</f>
        <v/>
      </c>
      <c r="B345" s="12" t="n"/>
      <c r="C345" s="12" t="n"/>
      <c r="E345" s="12" t="n"/>
    </row>
    <row r="346">
      <c r="A346">
        <f>A345+1</f>
        <v/>
      </c>
      <c r="B346" s="12" t="n"/>
      <c r="C346" s="12" t="n"/>
      <c r="E346" s="12" t="n"/>
    </row>
    <row r="347">
      <c r="A347">
        <f>A346+1</f>
        <v/>
      </c>
      <c r="B347" s="12" t="n"/>
      <c r="C347" s="12" t="n"/>
      <c r="E347" s="12" t="n"/>
    </row>
    <row r="348">
      <c r="A348">
        <f>A347+1</f>
        <v/>
      </c>
      <c r="B348" s="12" t="n"/>
      <c r="C348" s="12" t="n"/>
      <c r="E348" s="12" t="n"/>
    </row>
    <row r="349">
      <c r="A349">
        <f>A348+1</f>
        <v/>
      </c>
      <c r="B349" s="12" t="n"/>
      <c r="C349" s="12" t="n"/>
      <c r="E349" s="12" t="n"/>
    </row>
    <row r="350">
      <c r="A350">
        <f>A349+1</f>
        <v/>
      </c>
      <c r="B350" s="12" t="n"/>
      <c r="C350" s="12" t="n"/>
      <c r="E350" s="12" t="n"/>
    </row>
    <row r="351">
      <c r="A351">
        <f>A350+1</f>
        <v/>
      </c>
      <c r="B351" s="12" t="n"/>
      <c r="C351" s="12" t="n"/>
      <c r="E351" s="12" t="n"/>
    </row>
    <row r="352">
      <c r="A352">
        <f>A351+1</f>
        <v/>
      </c>
      <c r="B352" s="12" t="n"/>
      <c r="C352" s="12" t="n"/>
      <c r="E352" s="12" t="n"/>
    </row>
    <row r="353">
      <c r="A353">
        <f>A352+1</f>
        <v/>
      </c>
      <c r="B353" s="12" t="n"/>
      <c r="C353" s="12" t="n"/>
      <c r="E353" s="12" t="n"/>
    </row>
    <row r="354">
      <c r="A354">
        <f>A353+1</f>
        <v/>
      </c>
      <c r="B354" s="12" t="n"/>
      <c r="C354" s="12" t="n"/>
      <c r="E354" s="12" t="n"/>
    </row>
    <row r="355">
      <c r="A355">
        <f>A354+1</f>
        <v/>
      </c>
      <c r="B355" s="12" t="n"/>
      <c r="C355" s="12" t="n"/>
      <c r="E355" s="12" t="n"/>
    </row>
    <row r="356">
      <c r="A356">
        <f>A355+1</f>
        <v/>
      </c>
      <c r="B356" s="12" t="n"/>
      <c r="C356" s="12" t="n"/>
      <c r="E356" s="12" t="n"/>
    </row>
    <row r="357">
      <c r="A357">
        <f>A356+1</f>
        <v/>
      </c>
      <c r="B357" s="12" t="n"/>
      <c r="C357" s="12" t="n"/>
      <c r="E357" s="12" t="n"/>
    </row>
    <row r="358">
      <c r="A358">
        <f>A357+1</f>
        <v/>
      </c>
      <c r="B358" s="12" t="n"/>
      <c r="C358" s="12" t="n"/>
      <c r="E358" s="12" t="n"/>
    </row>
    <row r="359">
      <c r="A359">
        <f>A358+1</f>
        <v/>
      </c>
      <c r="B359" s="12" t="n"/>
      <c r="C359" s="12" t="n"/>
      <c r="E359" s="12" t="n"/>
    </row>
    <row r="360">
      <c r="A360">
        <f>A359+1</f>
        <v/>
      </c>
      <c r="B360" s="12" t="n"/>
      <c r="C360" s="12" t="n"/>
      <c r="E360" s="12" t="n"/>
    </row>
    <row r="361">
      <c r="A361">
        <f>A360+1</f>
        <v/>
      </c>
      <c r="B361" s="12" t="n"/>
      <c r="C361" s="12" t="n"/>
      <c r="E361" s="12" t="n"/>
    </row>
    <row r="362">
      <c r="A362">
        <f>A361+1</f>
        <v/>
      </c>
      <c r="B362" s="12" t="n"/>
      <c r="C362" s="12" t="n"/>
      <c r="E362" s="12" t="n"/>
    </row>
    <row r="363">
      <c r="A363">
        <f>A362+1</f>
        <v/>
      </c>
      <c r="B363" s="12" t="n"/>
      <c r="C363" s="12" t="n"/>
      <c r="E363" s="12" t="n"/>
    </row>
    <row r="364">
      <c r="A364">
        <f>A363+1</f>
        <v/>
      </c>
      <c r="B364" s="12" t="n"/>
      <c r="C364" s="12" t="n"/>
      <c r="E364" s="12" t="n"/>
    </row>
    <row r="365">
      <c r="A365">
        <f>A364+1</f>
        <v/>
      </c>
      <c r="B365" s="12" t="n"/>
      <c r="C365" s="12" t="n"/>
      <c r="E365" s="12" t="n"/>
    </row>
    <row r="366">
      <c r="A366">
        <f>A365+1</f>
        <v/>
      </c>
      <c r="B366" s="12" t="n"/>
      <c r="C366" s="12" t="n"/>
      <c r="E366" s="12" t="n"/>
    </row>
    <row r="367">
      <c r="A367">
        <f>A366+1</f>
        <v/>
      </c>
      <c r="B367" s="12" t="n"/>
      <c r="C367" s="12" t="n"/>
      <c r="E367" s="12" t="n"/>
    </row>
    <row r="368">
      <c r="A368">
        <f>A367+1</f>
        <v/>
      </c>
      <c r="B368" s="12" t="n"/>
      <c r="C368" s="12" t="n"/>
      <c r="E368" s="12" t="n"/>
    </row>
    <row r="369">
      <c r="A369">
        <f>A368+1</f>
        <v/>
      </c>
      <c r="B369" s="12" t="n"/>
      <c r="C369" s="12" t="n"/>
      <c r="E369" s="12" t="n"/>
    </row>
    <row r="370">
      <c r="A370">
        <f>A369+1</f>
        <v/>
      </c>
      <c r="B370" s="12" t="n"/>
      <c r="C370" s="12" t="n"/>
      <c r="E370" s="12" t="n"/>
    </row>
    <row r="371">
      <c r="A371">
        <f>A370+1</f>
        <v/>
      </c>
      <c r="B371" s="12" t="n"/>
      <c r="C371" s="12" t="n"/>
      <c r="E371" s="12" t="n"/>
    </row>
    <row r="372">
      <c r="A372">
        <f>A371+1</f>
        <v/>
      </c>
      <c r="B372" s="12" t="n"/>
      <c r="C372" s="12" t="n"/>
      <c r="E372" s="12" t="n"/>
    </row>
    <row r="373">
      <c r="A373">
        <f>A372+1</f>
        <v/>
      </c>
      <c r="B373" s="12" t="n"/>
      <c r="C373" s="12" t="n"/>
      <c r="E373" s="12" t="n"/>
    </row>
    <row r="374">
      <c r="A374">
        <f>A373+1</f>
        <v/>
      </c>
      <c r="B374" s="12" t="n"/>
      <c r="C374" s="12" t="n"/>
      <c r="E374" s="12" t="n"/>
    </row>
    <row r="375">
      <c r="A375">
        <f>A374+1</f>
        <v/>
      </c>
      <c r="B375" s="12" t="n"/>
      <c r="C375" s="12" t="n"/>
      <c r="E375" s="12" t="n"/>
    </row>
    <row r="376">
      <c r="A376">
        <f>A375+1</f>
        <v/>
      </c>
      <c r="B376" s="12" t="n"/>
      <c r="C376" s="12" t="n"/>
      <c r="E376" s="12" t="n"/>
    </row>
    <row r="377">
      <c r="A377">
        <f>A376+1</f>
        <v/>
      </c>
      <c r="B377" s="12" t="n"/>
      <c r="C377" s="12" t="n"/>
      <c r="E377" s="12" t="n"/>
    </row>
    <row r="378">
      <c r="A378">
        <f>A377+1</f>
        <v/>
      </c>
      <c r="B378" s="12" t="n"/>
      <c r="C378" s="12" t="n"/>
      <c r="E378" s="12" t="n"/>
    </row>
    <row r="379">
      <c r="A379">
        <f>A378+1</f>
        <v/>
      </c>
      <c r="B379" s="12" t="n"/>
      <c r="C379" s="12" t="n"/>
      <c r="E379" s="12" t="n"/>
    </row>
    <row r="380">
      <c r="A380">
        <f>A379+1</f>
        <v/>
      </c>
      <c r="B380" s="12" t="n"/>
      <c r="C380" s="12" t="n"/>
      <c r="E380" s="12" t="n"/>
    </row>
    <row r="381">
      <c r="A381">
        <f>A380+1</f>
        <v/>
      </c>
      <c r="B381" s="12" t="n"/>
      <c r="C381" s="12" t="n"/>
      <c r="E381" s="12" t="n"/>
    </row>
    <row r="382">
      <c r="A382">
        <f>A381+1</f>
        <v/>
      </c>
      <c r="B382" s="12" t="n"/>
      <c r="C382" s="12" t="n"/>
      <c r="E382" s="12" t="n"/>
    </row>
    <row r="383">
      <c r="A383">
        <f>A382+1</f>
        <v/>
      </c>
      <c r="B383" s="12" t="n"/>
      <c r="C383" s="12" t="n"/>
      <c r="E383" s="12" t="n"/>
    </row>
    <row r="384">
      <c r="A384">
        <f>A383+1</f>
        <v/>
      </c>
      <c r="B384" s="12" t="n"/>
      <c r="C384" s="12" t="n"/>
      <c r="E384" s="12" t="n"/>
    </row>
    <row r="385">
      <c r="A385">
        <f>A384+1</f>
        <v/>
      </c>
      <c r="B385" s="12" t="n"/>
      <c r="C385" s="12" t="n"/>
      <c r="E385" s="12" t="n"/>
    </row>
    <row r="386">
      <c r="A386">
        <f>A385+1</f>
        <v/>
      </c>
      <c r="B386" s="12" t="n"/>
      <c r="C386" s="12" t="n"/>
      <c r="E386" s="12" t="n"/>
    </row>
    <row r="387">
      <c r="A387">
        <f>A386+1</f>
        <v/>
      </c>
      <c r="B387" s="12" t="n"/>
      <c r="C387" s="12" t="n"/>
      <c r="E387" s="12" t="n"/>
    </row>
    <row r="388">
      <c r="A388">
        <f>A387+1</f>
        <v/>
      </c>
      <c r="B388" s="12" t="n"/>
      <c r="C388" s="12" t="n"/>
      <c r="E388" s="12" t="n"/>
    </row>
    <row r="389">
      <c r="A389">
        <f>A388+1</f>
        <v/>
      </c>
      <c r="B389" s="12" t="n"/>
      <c r="C389" s="12" t="n"/>
      <c r="E389" s="12" t="n"/>
    </row>
    <row r="390">
      <c r="A390">
        <f>A389+1</f>
        <v/>
      </c>
      <c r="B390" s="12" t="n"/>
      <c r="C390" s="12" t="n"/>
      <c r="E390" s="12" t="n"/>
    </row>
    <row r="391">
      <c r="A391">
        <f>A390+1</f>
        <v/>
      </c>
      <c r="B391" s="12" t="n"/>
      <c r="C391" s="12" t="n"/>
      <c r="E391" s="12" t="n"/>
    </row>
    <row r="392">
      <c r="A392">
        <f>A391+1</f>
        <v/>
      </c>
      <c r="B392" s="12" t="n"/>
      <c r="C392" s="12" t="n"/>
      <c r="E392" s="12" t="n"/>
    </row>
    <row r="393">
      <c r="A393">
        <f>A392+1</f>
        <v/>
      </c>
      <c r="B393" s="12" t="n"/>
      <c r="C393" s="12" t="n"/>
      <c r="E393" s="12" t="n"/>
    </row>
    <row r="394">
      <c r="A394">
        <f>A393+1</f>
        <v/>
      </c>
      <c r="B394" s="12" t="n"/>
      <c r="C394" s="12" t="n"/>
      <c r="E394" s="12" t="n"/>
    </row>
    <row r="395">
      <c r="A395">
        <f>A394+1</f>
        <v/>
      </c>
      <c r="B395" s="12" t="n"/>
      <c r="C395" s="12" t="n"/>
      <c r="E395" s="12" t="n"/>
    </row>
    <row r="396">
      <c r="A396">
        <f>A395+1</f>
        <v/>
      </c>
      <c r="B396" s="12" t="n"/>
      <c r="C396" s="12" t="n"/>
      <c r="E396" s="12" t="n"/>
    </row>
    <row r="397">
      <c r="A397">
        <f>A396+1</f>
        <v/>
      </c>
      <c r="B397" s="12" t="n"/>
      <c r="C397" s="12" t="n"/>
      <c r="E397" s="12" t="n"/>
    </row>
    <row r="398">
      <c r="A398">
        <f>A397+1</f>
        <v/>
      </c>
      <c r="B398" s="12" t="n"/>
      <c r="C398" s="12" t="n"/>
      <c r="E398" s="12" t="n"/>
    </row>
    <row r="399">
      <c r="A399">
        <f>A398+1</f>
        <v/>
      </c>
      <c r="B399" s="12" t="n"/>
      <c r="C399" s="12" t="n"/>
      <c r="E399" s="12" t="n"/>
    </row>
    <row r="400">
      <c r="A400">
        <f>A399+1</f>
        <v/>
      </c>
      <c r="B400" s="12" t="n"/>
      <c r="C400" s="12" t="n"/>
      <c r="E400" s="12" t="n"/>
    </row>
    <row r="401">
      <c r="A401">
        <f>A400+1</f>
        <v/>
      </c>
      <c r="B401" s="12" t="n"/>
      <c r="C401" s="12" t="n"/>
      <c r="E401" s="12" t="n"/>
    </row>
    <row r="402">
      <c r="A402">
        <f>A401+1</f>
        <v/>
      </c>
      <c r="B402" s="12" t="n"/>
      <c r="C402" s="12" t="n"/>
      <c r="E402" s="12" t="n"/>
    </row>
    <row r="403">
      <c r="A403">
        <f>A402+1</f>
        <v/>
      </c>
      <c r="B403" s="12" t="n"/>
      <c r="C403" s="12" t="n"/>
      <c r="E403" s="12" t="n"/>
    </row>
    <row r="404">
      <c r="A404">
        <f>A403+1</f>
        <v/>
      </c>
      <c r="B404" s="12" t="n"/>
      <c r="C404" s="12" t="n"/>
      <c r="E404" s="12" t="n"/>
    </row>
    <row r="405">
      <c r="A405">
        <f>A404+1</f>
        <v/>
      </c>
      <c r="B405" s="12" t="n"/>
      <c r="C405" s="12" t="n"/>
      <c r="E405" s="12" t="n"/>
    </row>
    <row r="406">
      <c r="A406">
        <f>A405+1</f>
        <v/>
      </c>
      <c r="B406" s="12" t="n"/>
      <c r="C406" s="12" t="n"/>
      <c r="E406" s="12" t="n"/>
    </row>
    <row r="407">
      <c r="A407">
        <f>A406+1</f>
        <v/>
      </c>
      <c r="B407" s="12" t="n"/>
      <c r="C407" s="12" t="n"/>
      <c r="E407" s="12" t="n"/>
    </row>
    <row r="408">
      <c r="A408">
        <f>A407+1</f>
        <v/>
      </c>
      <c r="B408" s="12" t="n"/>
      <c r="C408" s="12" t="n"/>
      <c r="E408" s="12" t="n"/>
    </row>
    <row r="409">
      <c r="A409">
        <f>A408+1</f>
        <v/>
      </c>
      <c r="B409" s="12" t="n"/>
      <c r="C409" s="12" t="n"/>
      <c r="E409" s="12" t="n"/>
    </row>
    <row r="410">
      <c r="A410">
        <f>A409+1</f>
        <v/>
      </c>
      <c r="B410" s="12" t="n"/>
      <c r="C410" s="12" t="n"/>
      <c r="E410" s="12" t="n"/>
    </row>
    <row r="411">
      <c r="A411">
        <f>A410+1</f>
        <v/>
      </c>
      <c r="B411" s="12" t="n"/>
      <c r="C411" s="12" t="n"/>
      <c r="E411" s="12" t="n"/>
    </row>
    <row r="412">
      <c r="A412">
        <f>A411+1</f>
        <v/>
      </c>
      <c r="B412" s="12" t="n"/>
      <c r="C412" s="12" t="n"/>
      <c r="E412" s="12" t="n"/>
    </row>
    <row r="413">
      <c r="A413">
        <f>A412+1</f>
        <v/>
      </c>
      <c r="B413" s="12" t="n"/>
      <c r="C413" s="12" t="n"/>
      <c r="E413" s="12" t="n"/>
    </row>
    <row r="414">
      <c r="A414">
        <f>A413+1</f>
        <v/>
      </c>
      <c r="B414" s="12" t="n"/>
      <c r="C414" s="12" t="n"/>
      <c r="E414" s="12" t="n"/>
    </row>
    <row r="415">
      <c r="A415">
        <f>A414+1</f>
        <v/>
      </c>
      <c r="B415" s="12" t="n"/>
      <c r="C415" s="12" t="n"/>
      <c r="E415" s="12" t="n"/>
    </row>
    <row r="416">
      <c r="A416">
        <f>A415+1</f>
        <v/>
      </c>
      <c r="B416" s="12" t="n"/>
      <c r="C416" s="12" t="n"/>
      <c r="E416" s="12" t="n"/>
    </row>
    <row r="417">
      <c r="A417">
        <f>A416+1</f>
        <v/>
      </c>
      <c r="B417" s="12" t="n"/>
      <c r="C417" s="12" t="n"/>
      <c r="E417" s="12" t="n"/>
    </row>
    <row r="418">
      <c r="A418">
        <f>A417+1</f>
        <v/>
      </c>
      <c r="B418" s="12" t="n"/>
      <c r="C418" s="12" t="n"/>
      <c r="E418" s="12" t="n"/>
    </row>
    <row r="419">
      <c r="A419">
        <f>A418+1</f>
        <v/>
      </c>
      <c r="B419" s="12" t="n"/>
      <c r="C419" s="12" t="n"/>
      <c r="E419" s="12" t="n"/>
    </row>
    <row r="420">
      <c r="A420">
        <f>A419+1</f>
        <v/>
      </c>
      <c r="B420" s="12" t="n"/>
      <c r="C420" s="12" t="n"/>
      <c r="E420" s="12" t="n"/>
    </row>
    <row r="421">
      <c r="A421">
        <f>A420+1</f>
        <v/>
      </c>
      <c r="B421" s="12" t="n"/>
      <c r="C421" s="12" t="n"/>
      <c r="E421" s="12" t="n"/>
    </row>
    <row r="422">
      <c r="A422">
        <f>A421+1</f>
        <v/>
      </c>
      <c r="B422" s="12" t="n"/>
      <c r="C422" s="12" t="n"/>
      <c r="E422" s="12" t="n"/>
    </row>
    <row r="423">
      <c r="A423">
        <f>A422+1</f>
        <v/>
      </c>
      <c r="B423" s="12" t="n"/>
      <c r="C423" s="12" t="n"/>
      <c r="E423" s="12" t="n"/>
    </row>
    <row r="424">
      <c r="A424">
        <f>A423+1</f>
        <v/>
      </c>
      <c r="B424" s="12" t="n"/>
      <c r="C424" s="12" t="n"/>
      <c r="E424" s="12" t="n"/>
    </row>
    <row r="425">
      <c r="A425">
        <f>A424+1</f>
        <v/>
      </c>
      <c r="B425" s="12" t="n"/>
      <c r="C425" s="12" t="n"/>
      <c r="E425" s="12" t="n"/>
    </row>
    <row r="426">
      <c r="A426">
        <f>A425+1</f>
        <v/>
      </c>
      <c r="B426" s="12" t="n"/>
      <c r="C426" s="12" t="n"/>
      <c r="E426" s="12" t="n"/>
    </row>
    <row r="427">
      <c r="A427">
        <f>A426+1</f>
        <v/>
      </c>
      <c r="B427" s="12" t="n"/>
      <c r="C427" s="12" t="n"/>
      <c r="E427" s="12" t="n"/>
    </row>
    <row r="428">
      <c r="A428">
        <f>A427+1</f>
        <v/>
      </c>
      <c r="B428" s="12" t="n"/>
      <c r="C428" s="12" t="n"/>
      <c r="E428" s="12" t="n"/>
    </row>
    <row r="429">
      <c r="A429">
        <f>A428+1</f>
        <v/>
      </c>
      <c r="B429" s="12" t="n"/>
      <c r="C429" s="12" t="n"/>
      <c r="E429" s="12" t="n"/>
    </row>
    <row r="430">
      <c r="A430">
        <f>A429+1</f>
        <v/>
      </c>
      <c r="B430" s="12" t="n"/>
      <c r="C430" s="12" t="n"/>
      <c r="E430" s="12" t="n"/>
    </row>
    <row r="431">
      <c r="A431">
        <f>A430+1</f>
        <v/>
      </c>
      <c r="B431" s="12" t="n"/>
      <c r="C431" s="12" t="n"/>
      <c r="E431" s="12" t="n"/>
    </row>
    <row r="432">
      <c r="A432">
        <f>A431+1</f>
        <v/>
      </c>
      <c r="B432" s="12" t="n"/>
      <c r="C432" s="12" t="n"/>
      <c r="E432" s="12" t="n"/>
    </row>
    <row r="433">
      <c r="A433">
        <f>A432+1</f>
        <v/>
      </c>
      <c r="B433" s="12" t="n"/>
      <c r="C433" s="12" t="n"/>
      <c r="E433" s="12" t="n"/>
    </row>
    <row r="434">
      <c r="A434">
        <f>A433+1</f>
        <v/>
      </c>
      <c r="B434" s="12" t="n"/>
      <c r="C434" s="12" t="n"/>
      <c r="E434" s="12" t="n"/>
    </row>
    <row r="435">
      <c r="A435">
        <f>A434+1</f>
        <v/>
      </c>
      <c r="B435" s="12" t="n"/>
      <c r="C435" s="12" t="n"/>
      <c r="E435" s="12" t="n"/>
    </row>
    <row r="436">
      <c r="A436">
        <f>A435+1</f>
        <v/>
      </c>
      <c r="B436" s="12" t="n"/>
      <c r="C436" s="12" t="n"/>
      <c r="E436" s="12" t="n"/>
    </row>
    <row r="437">
      <c r="A437">
        <f>A436+1</f>
        <v/>
      </c>
      <c r="B437" s="12" t="n"/>
      <c r="C437" s="12" t="n"/>
      <c r="E437" s="12" t="n"/>
    </row>
    <row r="438">
      <c r="A438">
        <f>A437+1</f>
        <v/>
      </c>
      <c r="B438" s="12" t="n"/>
      <c r="C438" s="12" t="n"/>
      <c r="E438" s="12" t="n"/>
    </row>
    <row r="439">
      <c r="A439">
        <f>A438+1</f>
        <v/>
      </c>
      <c r="B439" s="12" t="n"/>
      <c r="C439" s="12" t="n"/>
      <c r="E439" s="12" t="n"/>
    </row>
    <row r="440">
      <c r="A440">
        <f>A439+1</f>
        <v/>
      </c>
      <c r="B440" s="12" t="n"/>
      <c r="C440" s="12" t="n"/>
      <c r="E440" s="12" t="n"/>
    </row>
    <row r="441">
      <c r="A441">
        <f>A440+1</f>
        <v/>
      </c>
      <c r="B441" s="12" t="n"/>
      <c r="C441" s="12" t="n"/>
      <c r="E441" s="12" t="n"/>
    </row>
    <row r="442">
      <c r="A442">
        <f>A441+1</f>
        <v/>
      </c>
      <c r="B442" s="12" t="n"/>
      <c r="C442" s="12" t="n"/>
      <c r="E442" s="12" t="n"/>
    </row>
    <row r="443">
      <c r="A443">
        <f>A442+1</f>
        <v/>
      </c>
      <c r="B443" s="12" t="n"/>
      <c r="C443" s="12" t="n"/>
      <c r="E443" s="12" t="n"/>
    </row>
    <row r="444">
      <c r="A444">
        <f>A443+1</f>
        <v/>
      </c>
      <c r="B444" s="12" t="n"/>
      <c r="C444" s="12" t="n"/>
      <c r="E444" s="12" t="n"/>
    </row>
    <row r="445">
      <c r="A445">
        <f>A444+1</f>
        <v/>
      </c>
      <c r="B445" s="12" t="n"/>
      <c r="C445" s="12" t="n"/>
      <c r="E445" s="12" t="n"/>
    </row>
    <row r="446">
      <c r="A446">
        <f>A445+1</f>
        <v/>
      </c>
      <c r="B446" s="12" t="n"/>
      <c r="C446" s="12" t="n"/>
      <c r="E446" s="12" t="n"/>
    </row>
    <row r="447">
      <c r="A447">
        <f>A446+1</f>
        <v/>
      </c>
      <c r="B447" s="12" t="n"/>
      <c r="C447" s="12" t="n"/>
      <c r="E447" s="12" t="n"/>
    </row>
    <row r="448">
      <c r="A448">
        <f>A447+1</f>
        <v/>
      </c>
      <c r="B448" s="12" t="n"/>
      <c r="C448" s="12" t="n"/>
      <c r="E448" s="12" t="n"/>
    </row>
    <row r="449">
      <c r="A449">
        <f>A448+1</f>
        <v/>
      </c>
      <c r="B449" s="12" t="n"/>
      <c r="C449" s="12" t="n"/>
      <c r="E449" s="12" t="n"/>
    </row>
    <row r="450">
      <c r="A450">
        <f>A449+1</f>
        <v/>
      </c>
      <c r="B450" s="12" t="n"/>
      <c r="C450" s="12" t="n"/>
      <c r="E450" s="12" t="n"/>
    </row>
    <row r="451">
      <c r="A451">
        <f>A450+1</f>
        <v/>
      </c>
      <c r="B451" s="12" t="n"/>
      <c r="C451" s="12" t="n"/>
      <c r="E451" s="12" t="n"/>
    </row>
    <row r="452">
      <c r="A452">
        <f>A451+1</f>
        <v/>
      </c>
      <c r="B452" s="12" t="n"/>
      <c r="C452" s="12" t="n"/>
      <c r="E452" s="12" t="n"/>
    </row>
    <row r="453">
      <c r="A453">
        <f>A452+1</f>
        <v/>
      </c>
      <c r="B453" s="12" t="n"/>
      <c r="C453" s="12" t="n"/>
      <c r="E453" s="12" t="n"/>
    </row>
    <row r="454">
      <c r="A454">
        <f>A453+1</f>
        <v/>
      </c>
      <c r="B454" s="12" t="n"/>
      <c r="C454" s="12" t="n"/>
      <c r="E454" s="12" t="n"/>
    </row>
    <row r="455">
      <c r="A455">
        <f>A454+1</f>
        <v/>
      </c>
      <c r="B455" s="12" t="n"/>
      <c r="C455" s="12" t="n"/>
      <c r="E455" s="12" t="n"/>
    </row>
    <row r="456">
      <c r="A456">
        <f>A455+1</f>
        <v/>
      </c>
      <c r="B456" s="12" t="n"/>
      <c r="C456" s="12" t="n"/>
      <c r="E456" s="12" t="n"/>
    </row>
    <row r="457">
      <c r="A457">
        <f>A456+1</f>
        <v/>
      </c>
      <c r="B457" s="12" t="n"/>
      <c r="C457" s="12" t="n"/>
      <c r="E457" s="12" t="n"/>
    </row>
    <row r="458">
      <c r="A458">
        <f>A457+1</f>
        <v/>
      </c>
      <c r="B458" s="12" t="n"/>
      <c r="C458" s="12" t="n"/>
      <c r="E458" s="12" t="n"/>
    </row>
    <row r="459">
      <c r="A459">
        <f>A458+1</f>
        <v/>
      </c>
      <c r="B459" s="12" t="n"/>
      <c r="C459" s="12" t="n"/>
      <c r="E459" s="12" t="n"/>
    </row>
    <row r="460">
      <c r="A460">
        <f>A459+1</f>
        <v/>
      </c>
      <c r="B460" s="12" t="n"/>
      <c r="C460" s="12" t="n"/>
      <c r="E460" s="12" t="n"/>
    </row>
    <row r="461">
      <c r="A461">
        <f>A460+1</f>
        <v/>
      </c>
      <c r="B461" s="12" t="n"/>
      <c r="C461" s="12" t="n"/>
      <c r="E461" s="12" t="n"/>
    </row>
    <row r="462">
      <c r="A462">
        <f>A461+1</f>
        <v/>
      </c>
      <c r="B462" s="12" t="n"/>
      <c r="C462" s="12" t="n"/>
      <c r="E462" s="12" t="n"/>
    </row>
    <row r="463">
      <c r="A463">
        <f>A462+1</f>
        <v/>
      </c>
      <c r="B463" s="12" t="n"/>
      <c r="C463" s="12" t="n"/>
      <c r="E463" s="12" t="n"/>
    </row>
    <row r="464">
      <c r="A464">
        <f>A463+1</f>
        <v/>
      </c>
      <c r="B464" s="12" t="n"/>
      <c r="C464" s="12" t="n"/>
      <c r="E464" s="12" t="n"/>
    </row>
    <row r="465">
      <c r="A465">
        <f>A464+1</f>
        <v/>
      </c>
      <c r="B465" s="12" t="n"/>
      <c r="C465" s="12" t="n"/>
      <c r="E465" s="12" t="n"/>
    </row>
    <row r="466">
      <c r="A466">
        <f>A465+1</f>
        <v/>
      </c>
      <c r="B466" s="12" t="n"/>
      <c r="C466" s="12" t="n"/>
      <c r="E466" s="12" t="n"/>
    </row>
    <row r="467">
      <c r="A467">
        <f>A466+1</f>
        <v/>
      </c>
      <c r="B467" s="12" t="n"/>
      <c r="C467" s="12" t="n"/>
      <c r="E467" s="12" t="n"/>
    </row>
    <row r="468">
      <c r="A468">
        <f>A467+1</f>
        <v/>
      </c>
      <c r="B468" s="12" t="n"/>
      <c r="C468" s="12" t="n"/>
      <c r="E468" s="12" t="n"/>
    </row>
    <row r="469">
      <c r="A469">
        <f>A468+1</f>
        <v/>
      </c>
      <c r="B469" s="12" t="n"/>
      <c r="C469" s="12" t="n"/>
      <c r="E469" s="12" t="n"/>
    </row>
    <row r="470">
      <c r="A470">
        <f>A469+1</f>
        <v/>
      </c>
      <c r="B470" s="12" t="n"/>
      <c r="C470" s="12" t="n"/>
      <c r="E470" s="12" t="n"/>
    </row>
    <row r="471">
      <c r="A471">
        <f>A470+1</f>
        <v/>
      </c>
      <c r="B471" s="12" t="n"/>
      <c r="C471" s="12" t="n"/>
      <c r="E471" s="12" t="n"/>
    </row>
    <row r="472">
      <c r="A472">
        <f>A471+1</f>
        <v/>
      </c>
      <c r="B472" s="12" t="n"/>
      <c r="C472" s="12" t="n"/>
      <c r="E472" s="12" t="n"/>
    </row>
    <row r="473">
      <c r="A473">
        <f>A472+1</f>
        <v/>
      </c>
      <c r="B473" s="12" t="n"/>
      <c r="C473" s="12" t="n"/>
      <c r="E473" s="12" t="n"/>
    </row>
    <row r="474">
      <c r="A474">
        <f>A473+1</f>
        <v/>
      </c>
      <c r="B474" s="12" t="n"/>
      <c r="C474" s="12" t="n"/>
      <c r="E474" s="12" t="n"/>
    </row>
    <row r="475">
      <c r="A475">
        <f>A474+1</f>
        <v/>
      </c>
      <c r="B475" s="12" t="n"/>
      <c r="C475" s="12" t="n"/>
      <c r="E475" s="12" t="n"/>
    </row>
    <row r="476">
      <c r="A476">
        <f>A475+1</f>
        <v/>
      </c>
      <c r="B476" s="12" t="n"/>
      <c r="C476" s="12" t="n"/>
      <c r="E476" s="12" t="n"/>
    </row>
    <row r="477">
      <c r="A477">
        <f>A476+1</f>
        <v/>
      </c>
      <c r="B477" s="12" t="n"/>
      <c r="C477" s="12" t="n"/>
      <c r="E477" s="12" t="n"/>
    </row>
    <row r="478">
      <c r="A478">
        <f>A477+1</f>
        <v/>
      </c>
      <c r="B478" s="12" t="n"/>
      <c r="C478" s="12" t="n"/>
      <c r="E478" s="12" t="n"/>
    </row>
    <row r="479">
      <c r="A479">
        <f>A478+1</f>
        <v/>
      </c>
      <c r="B479" s="12" t="n"/>
      <c r="C479" s="12" t="n"/>
      <c r="E479" s="12" t="n"/>
    </row>
    <row r="480">
      <c r="A480">
        <f>A479+1</f>
        <v/>
      </c>
      <c r="B480" s="12" t="n"/>
      <c r="C480" s="12" t="n"/>
      <c r="E480" s="12" t="n"/>
    </row>
    <row r="481">
      <c r="A481">
        <f>A480+1</f>
        <v/>
      </c>
      <c r="B481" s="12" t="n"/>
      <c r="C481" s="12" t="n"/>
      <c r="E481" s="12" t="n"/>
    </row>
    <row r="482">
      <c r="A482">
        <f>A481+1</f>
        <v/>
      </c>
      <c r="B482" s="12" t="n"/>
      <c r="C482" s="12" t="n"/>
      <c r="E482" s="12" t="n"/>
    </row>
    <row r="483">
      <c r="A483">
        <f>A482+1</f>
        <v/>
      </c>
      <c r="B483" s="12" t="n"/>
      <c r="C483" s="12" t="n"/>
      <c r="E483" s="12" t="n"/>
    </row>
    <row r="484">
      <c r="A484">
        <f>A483+1</f>
        <v/>
      </c>
      <c r="B484" s="12" t="n"/>
      <c r="C484" s="12" t="n"/>
      <c r="E484" s="12" t="n"/>
    </row>
    <row r="485">
      <c r="A485">
        <f>A484+1</f>
        <v/>
      </c>
      <c r="B485" s="12" t="n"/>
      <c r="C485" s="12" t="n"/>
      <c r="E485" s="12" t="n"/>
    </row>
    <row r="486">
      <c r="A486">
        <f>A485+1</f>
        <v/>
      </c>
      <c r="B486" s="12" t="n"/>
      <c r="C486" s="12" t="n"/>
      <c r="E486" s="12" t="n"/>
    </row>
    <row r="487">
      <c r="A487">
        <f>A486+1</f>
        <v/>
      </c>
      <c r="B487" s="12" t="n"/>
      <c r="C487" s="12" t="n"/>
      <c r="E487" s="12" t="n"/>
    </row>
    <row r="488">
      <c r="A488">
        <f>A487+1</f>
        <v/>
      </c>
      <c r="B488" s="12" t="n"/>
      <c r="C488" s="12" t="n"/>
      <c r="E488" s="12" t="n"/>
    </row>
    <row r="489">
      <c r="A489">
        <f>A488+1</f>
        <v/>
      </c>
      <c r="B489" s="12" t="n"/>
      <c r="C489" s="12" t="n"/>
      <c r="E489" s="12" t="n"/>
    </row>
    <row r="490">
      <c r="A490">
        <f>A489+1</f>
        <v/>
      </c>
      <c r="B490" s="12" t="n"/>
      <c r="C490" s="12" t="n"/>
      <c r="E490" s="12" t="n"/>
    </row>
    <row r="491">
      <c r="A491">
        <f>A490+1</f>
        <v/>
      </c>
      <c r="B491" s="12" t="n"/>
      <c r="C491" s="12" t="n"/>
      <c r="E491" s="12" t="n"/>
    </row>
    <row r="492">
      <c r="A492">
        <f>A491+1</f>
        <v/>
      </c>
      <c r="B492" s="12" t="n"/>
      <c r="C492" s="12" t="n"/>
      <c r="E492" s="12" t="n"/>
    </row>
    <row r="493">
      <c r="A493">
        <f>A492+1</f>
        <v/>
      </c>
      <c r="B493" s="12" t="n"/>
      <c r="C493" s="12" t="n"/>
      <c r="E493" s="12" t="n"/>
    </row>
    <row r="494">
      <c r="A494">
        <f>A493+1</f>
        <v/>
      </c>
      <c r="B494" s="12" t="n"/>
      <c r="C494" s="12" t="n"/>
      <c r="E494" s="12" t="n"/>
    </row>
    <row r="495">
      <c r="A495">
        <f>A494+1</f>
        <v/>
      </c>
      <c r="B495" s="12" t="n"/>
      <c r="C495" s="12" t="n"/>
      <c r="E495" s="12" t="n"/>
    </row>
    <row r="496">
      <c r="A496">
        <f>A495+1</f>
        <v/>
      </c>
      <c r="B496" s="12" t="n"/>
      <c r="C496" s="12" t="n"/>
      <c r="E496" s="12" t="n"/>
    </row>
    <row r="497">
      <c r="A497">
        <f>A496+1</f>
        <v/>
      </c>
      <c r="B497" s="12" t="n"/>
      <c r="C497" s="12" t="n"/>
      <c r="E497" s="12" t="n"/>
    </row>
    <row r="498">
      <c r="A498">
        <f>A497+1</f>
        <v/>
      </c>
      <c r="B498" s="12" t="n"/>
      <c r="C498" s="12" t="n"/>
      <c r="E498" s="12" t="n"/>
    </row>
    <row r="499">
      <c r="A499">
        <f>A498+1</f>
        <v/>
      </c>
      <c r="B499" s="12" t="n"/>
      <c r="C499" s="12" t="n"/>
      <c r="E499" s="12" t="n"/>
    </row>
    <row r="500">
      <c r="A500">
        <f>A499+1</f>
        <v/>
      </c>
      <c r="B500" s="12" t="n"/>
      <c r="C500" s="12" t="n"/>
      <c r="E500" s="12" t="n"/>
    </row>
    <row r="501">
      <c r="A501">
        <f>A500+1</f>
        <v/>
      </c>
      <c r="B501" s="12" t="n"/>
      <c r="C501" s="12" t="n"/>
      <c r="E501" s="12" t="n"/>
    </row>
    <row r="502">
      <c r="A502">
        <f>A501+1</f>
        <v/>
      </c>
      <c r="B502" s="12" t="n"/>
      <c r="C502" s="12" t="n"/>
      <c r="E502" s="12" t="n"/>
    </row>
    <row r="503">
      <c r="A503">
        <f>A502+1</f>
        <v/>
      </c>
      <c r="B503" s="12" t="n"/>
      <c r="C503" s="12" t="n"/>
      <c r="E503" s="12" t="n"/>
    </row>
    <row r="504">
      <c r="A504">
        <f>A503+1</f>
        <v/>
      </c>
      <c r="B504" s="12" t="n"/>
      <c r="C504" s="12" t="n"/>
      <c r="E504" s="12" t="n"/>
    </row>
    <row r="505">
      <c r="A505">
        <f>A504+1</f>
        <v/>
      </c>
      <c r="B505" s="12" t="n"/>
      <c r="C505" s="12" t="n"/>
      <c r="E505" s="12" t="n"/>
    </row>
    <row r="506">
      <c r="A506">
        <f>A505+1</f>
        <v/>
      </c>
      <c r="B506" s="12" t="n"/>
      <c r="C506" s="12" t="n"/>
      <c r="E506" s="12" t="n"/>
    </row>
    <row r="507">
      <c r="A507">
        <f>A506+1</f>
        <v/>
      </c>
      <c r="B507" s="12" t="n"/>
      <c r="C507" s="12" t="n"/>
      <c r="E507" s="12" t="n"/>
    </row>
    <row r="508">
      <c r="A508">
        <f>A507+1</f>
        <v/>
      </c>
      <c r="B508" s="12" t="n"/>
      <c r="C508" s="12" t="n"/>
      <c r="E508" s="12" t="n"/>
    </row>
    <row r="509">
      <c r="A509">
        <f>A508+1</f>
        <v/>
      </c>
      <c r="B509" s="12" t="n"/>
      <c r="C509" s="12" t="n"/>
      <c r="E509" s="12" t="n"/>
    </row>
    <row r="510">
      <c r="A510">
        <f>A509+1</f>
        <v/>
      </c>
      <c r="B510" s="12" t="n"/>
      <c r="C510" s="12" t="n"/>
      <c r="E510" s="12" t="n"/>
    </row>
    <row r="511">
      <c r="A511">
        <f>A510+1</f>
        <v/>
      </c>
      <c r="B511" s="12" t="n"/>
      <c r="C511" s="12" t="n"/>
      <c r="E511" s="12" t="n"/>
    </row>
    <row r="512">
      <c r="A512">
        <f>A511+1</f>
        <v/>
      </c>
      <c r="B512" s="12" t="n"/>
      <c r="C512" s="12" t="n"/>
      <c r="E512" s="12" t="n"/>
    </row>
    <row r="513">
      <c r="A513">
        <f>A512+1</f>
        <v/>
      </c>
      <c r="B513" s="12" t="n"/>
      <c r="C513" s="12" t="n"/>
      <c r="E513" s="12" t="n"/>
    </row>
    <row r="514">
      <c r="A514">
        <f>A513+1</f>
        <v/>
      </c>
      <c r="B514" s="12" t="n"/>
      <c r="C514" s="12" t="n"/>
      <c r="E514" s="12" t="n"/>
    </row>
    <row r="515">
      <c r="A515">
        <f>A514+1</f>
        <v/>
      </c>
      <c r="B515" s="12" t="n"/>
      <c r="C515" s="12" t="n"/>
      <c r="E515" s="12" t="n"/>
    </row>
    <row r="516">
      <c r="A516">
        <f>A515+1</f>
        <v/>
      </c>
      <c r="B516" s="12" t="n"/>
      <c r="C516" s="12" t="n"/>
      <c r="E516" s="12" t="n"/>
    </row>
    <row r="517">
      <c r="A517">
        <f>A516+1</f>
        <v/>
      </c>
      <c r="B517" s="12" t="n"/>
      <c r="C517" s="12" t="n"/>
      <c r="E517" s="12" t="n"/>
    </row>
    <row r="518">
      <c r="A518">
        <f>A517+1</f>
        <v/>
      </c>
      <c r="B518" s="12" t="n"/>
      <c r="C518" s="12" t="n"/>
      <c r="E518" s="12" t="n"/>
    </row>
    <row r="519">
      <c r="A519">
        <f>A518+1</f>
        <v/>
      </c>
      <c r="B519" s="12" t="n"/>
      <c r="C519" s="12" t="n"/>
      <c r="E519" s="12" t="n"/>
    </row>
    <row r="520">
      <c r="A520">
        <f>A519+1</f>
        <v/>
      </c>
      <c r="B520" s="12" t="n"/>
      <c r="C520" s="12" t="n"/>
      <c r="E520" s="12" t="n"/>
    </row>
    <row r="521">
      <c r="A521">
        <f>A520+1</f>
        <v/>
      </c>
      <c r="B521" s="12" t="n"/>
      <c r="C521" s="12" t="n"/>
      <c r="E521" s="12" t="n"/>
    </row>
    <row r="522">
      <c r="A522">
        <f>A521+1</f>
        <v/>
      </c>
      <c r="B522" s="12" t="n"/>
      <c r="C522" s="12" t="n"/>
      <c r="E522" s="12" t="n"/>
    </row>
    <row r="523">
      <c r="A523">
        <f>A522+1</f>
        <v/>
      </c>
      <c r="B523" s="12" t="n"/>
      <c r="C523" s="12" t="n"/>
      <c r="E523" s="12" t="n"/>
    </row>
    <row r="524">
      <c r="A524">
        <f>A523+1</f>
        <v/>
      </c>
      <c r="B524" s="12" t="n"/>
      <c r="C524" s="12" t="n"/>
      <c r="E524" s="12" t="n"/>
    </row>
    <row r="525">
      <c r="A525">
        <f>A524+1</f>
        <v/>
      </c>
      <c r="B525" s="12" t="n"/>
      <c r="C525" s="12" t="n"/>
      <c r="E525" s="12" t="n"/>
    </row>
    <row r="526">
      <c r="A526">
        <f>A525+1</f>
        <v/>
      </c>
      <c r="B526" s="12" t="n"/>
      <c r="C526" s="12" t="n"/>
      <c r="E526" s="12" t="n"/>
    </row>
    <row r="527">
      <c r="A527">
        <f>A526+1</f>
        <v/>
      </c>
      <c r="B527" s="12" t="n"/>
      <c r="C527" s="12" t="n"/>
      <c r="E527" s="12" t="n"/>
    </row>
    <row r="528">
      <c r="A528">
        <f>A527+1</f>
        <v/>
      </c>
      <c r="B528" s="12" t="n"/>
      <c r="C528" s="12" t="n"/>
      <c r="E528" s="12" t="n"/>
    </row>
    <row r="529">
      <c r="A529">
        <f>A528+1</f>
        <v/>
      </c>
      <c r="B529" s="12" t="n"/>
      <c r="C529" s="12" t="n"/>
      <c r="E529" s="12" t="n"/>
    </row>
    <row r="530">
      <c r="A530">
        <f>A529+1</f>
        <v/>
      </c>
      <c r="B530" s="12" t="n"/>
      <c r="C530" s="12" t="n"/>
      <c r="E530" s="12" t="n"/>
    </row>
    <row r="531">
      <c r="A531">
        <f>A530+1</f>
        <v/>
      </c>
      <c r="B531" s="12" t="n"/>
      <c r="C531" s="12" t="n"/>
      <c r="E531" s="12" t="n"/>
    </row>
    <row r="532">
      <c r="A532">
        <f>A531+1</f>
        <v/>
      </c>
      <c r="B532" s="12" t="n"/>
      <c r="C532" s="12" t="n"/>
      <c r="E532" s="12" t="n"/>
    </row>
    <row r="533">
      <c r="A533">
        <f>A532+1</f>
        <v/>
      </c>
      <c r="B533" s="12" t="n"/>
      <c r="C533" s="12" t="n"/>
      <c r="E533" s="12" t="n"/>
    </row>
    <row r="534">
      <c r="A534">
        <f>A533+1</f>
        <v/>
      </c>
      <c r="B534" s="12" t="n"/>
      <c r="C534" s="12" t="n"/>
      <c r="E534" s="12" t="n"/>
    </row>
    <row r="535">
      <c r="A535">
        <f>A534+1</f>
        <v/>
      </c>
      <c r="B535" s="12" t="n"/>
      <c r="C535" s="12" t="n"/>
      <c r="E535" s="12" t="n"/>
    </row>
    <row r="536">
      <c r="A536">
        <f>A535+1</f>
        <v/>
      </c>
      <c r="B536" s="12" t="n"/>
      <c r="C536" s="12" t="n"/>
      <c r="E536" s="12" t="n"/>
    </row>
    <row r="537">
      <c r="A537">
        <f>A536+1</f>
        <v/>
      </c>
      <c r="B537" s="12" t="n"/>
      <c r="C537" s="12" t="n"/>
      <c r="E537" s="12" t="n"/>
    </row>
    <row r="538">
      <c r="A538">
        <f>A537+1</f>
        <v/>
      </c>
      <c r="B538" s="12" t="n"/>
      <c r="C538" s="12" t="n"/>
      <c r="E538" s="12" t="n"/>
    </row>
    <row r="539">
      <c r="A539">
        <f>A538+1</f>
        <v/>
      </c>
      <c r="B539" s="12" t="n"/>
      <c r="C539" s="12" t="n"/>
      <c r="E539" s="12" t="n"/>
    </row>
    <row r="540">
      <c r="A540">
        <f>A539+1</f>
        <v/>
      </c>
      <c r="B540" s="12" t="n"/>
      <c r="C540" s="12" t="n"/>
      <c r="E540" s="12" t="n"/>
    </row>
    <row r="541">
      <c r="A541">
        <f>A540+1</f>
        <v/>
      </c>
      <c r="B541" s="12" t="n"/>
      <c r="C541" s="12" t="n"/>
      <c r="E541" s="12" t="n"/>
    </row>
    <row r="542">
      <c r="A542">
        <f>A541+1</f>
        <v/>
      </c>
      <c r="B542" s="12" t="n"/>
      <c r="C542" s="12" t="n"/>
      <c r="E542" s="12" t="n"/>
    </row>
    <row r="543">
      <c r="A543">
        <f>A542+1</f>
        <v/>
      </c>
      <c r="B543" s="12" t="n"/>
      <c r="C543" s="12" t="n"/>
      <c r="E543" s="12" t="n"/>
    </row>
    <row r="544">
      <c r="A544">
        <f>A543+1</f>
        <v/>
      </c>
      <c r="B544" s="12" t="n"/>
      <c r="C544" s="12" t="n"/>
      <c r="E544" s="12" t="n"/>
    </row>
    <row r="545">
      <c r="A545">
        <f>A544+1</f>
        <v/>
      </c>
      <c r="B545" s="12" t="n"/>
      <c r="C545" s="12" t="n"/>
      <c r="E545" s="12" t="n"/>
    </row>
    <row r="546">
      <c r="A546">
        <f>A545+1</f>
        <v/>
      </c>
      <c r="B546" s="12" t="n"/>
      <c r="C546" s="12" t="n"/>
      <c r="E546" s="12" t="n"/>
    </row>
    <row r="547">
      <c r="A547">
        <f>A546+1</f>
        <v/>
      </c>
      <c r="B547" s="12" t="n"/>
      <c r="C547" s="12" t="n"/>
      <c r="E547" s="12" t="n"/>
    </row>
    <row r="548">
      <c r="A548">
        <f>A547+1</f>
        <v/>
      </c>
      <c r="B548" s="12" t="n"/>
      <c r="C548" s="12" t="n"/>
      <c r="E548" s="12" t="n"/>
    </row>
    <row r="549">
      <c r="A549">
        <f>A548+1</f>
        <v/>
      </c>
      <c r="B549" s="12" t="n"/>
      <c r="C549" s="12" t="n"/>
      <c r="E549" s="12" t="n"/>
    </row>
    <row r="550">
      <c r="A550">
        <f>A549+1</f>
        <v/>
      </c>
      <c r="B550" s="12" t="n"/>
      <c r="C550" s="12" t="n"/>
      <c r="E550" s="12" t="n"/>
    </row>
    <row r="551">
      <c r="A551">
        <f>A550+1</f>
        <v/>
      </c>
      <c r="B551" s="12" t="n"/>
      <c r="C551" s="12" t="n"/>
      <c r="E551" s="12" t="n"/>
    </row>
    <row r="552">
      <c r="A552">
        <f>A551+1</f>
        <v/>
      </c>
      <c r="B552" s="12" t="n"/>
      <c r="C552" s="12" t="n"/>
      <c r="E552" s="12" t="n"/>
    </row>
    <row r="553">
      <c r="A553">
        <f>A552+1</f>
        <v/>
      </c>
      <c r="B553" s="12" t="n"/>
      <c r="C553" s="12" t="n"/>
      <c r="E553" s="12" t="n"/>
    </row>
    <row r="554">
      <c r="A554">
        <f>A553+1</f>
        <v/>
      </c>
      <c r="B554" s="12" t="n"/>
      <c r="C554" s="12" t="n"/>
      <c r="E554" s="12" t="n"/>
    </row>
    <row r="555">
      <c r="A555">
        <f>A554+1</f>
        <v/>
      </c>
      <c r="B555" s="12" t="n"/>
      <c r="C555" s="12" t="n"/>
      <c r="E555" s="12" t="n"/>
    </row>
    <row r="556">
      <c r="A556">
        <f>A555+1</f>
        <v/>
      </c>
      <c r="B556" s="12" t="n"/>
      <c r="C556" s="12" t="n"/>
      <c r="E556" s="12" t="n"/>
    </row>
    <row r="557">
      <c r="A557">
        <f>A556+1</f>
        <v/>
      </c>
      <c r="B557" s="12" t="n"/>
      <c r="C557" s="12" t="n"/>
      <c r="E557" s="12" t="n"/>
    </row>
    <row r="558">
      <c r="A558">
        <f>A557+1</f>
        <v/>
      </c>
      <c r="B558" s="12" t="n"/>
      <c r="C558" s="12" t="n"/>
      <c r="E558" s="12" t="n"/>
    </row>
    <row r="559">
      <c r="A559">
        <f>A558+1</f>
        <v/>
      </c>
      <c r="B559" s="12" t="n"/>
      <c r="C559" s="12" t="n"/>
      <c r="E559" s="12" t="n"/>
    </row>
    <row r="560">
      <c r="A560">
        <f>A559+1</f>
        <v/>
      </c>
      <c r="B560" s="12" t="n"/>
      <c r="C560" s="12" t="n"/>
      <c r="E560" s="12" t="n"/>
    </row>
    <row r="561">
      <c r="A561">
        <f>A560+1</f>
        <v/>
      </c>
      <c r="B561" s="12" t="n"/>
      <c r="C561" s="12" t="n"/>
      <c r="E561" s="12" t="n"/>
    </row>
    <row r="562">
      <c r="A562">
        <f>A561+1</f>
        <v/>
      </c>
      <c r="B562" s="12" t="n"/>
      <c r="C562" s="12" t="n"/>
      <c r="E562" s="12" t="n"/>
    </row>
    <row r="563">
      <c r="A563">
        <f>A562+1</f>
        <v/>
      </c>
      <c r="B563" s="12" t="n"/>
      <c r="C563" s="12" t="n"/>
      <c r="E563" s="12" t="n"/>
    </row>
    <row r="564">
      <c r="A564">
        <f>A563+1</f>
        <v/>
      </c>
      <c r="B564" s="12" t="n"/>
      <c r="C564" s="12" t="n"/>
      <c r="E564" s="12" t="n"/>
    </row>
    <row r="565">
      <c r="A565">
        <f>A564+1</f>
        <v/>
      </c>
      <c r="B565" s="12" t="n"/>
      <c r="C565" s="12" t="n"/>
      <c r="E565" s="12" t="n"/>
    </row>
    <row r="566">
      <c r="A566">
        <f>A565+1</f>
        <v/>
      </c>
      <c r="B566" s="12" t="n"/>
      <c r="C566" s="12" t="n"/>
      <c r="E566" s="12" t="n"/>
    </row>
    <row r="567">
      <c r="A567">
        <f>A566+1</f>
        <v/>
      </c>
      <c r="B567" s="12" t="n"/>
      <c r="C567" s="12" t="n"/>
      <c r="E567" s="12" t="n"/>
    </row>
    <row r="568">
      <c r="A568">
        <f>A567+1</f>
        <v/>
      </c>
      <c r="B568" s="12" t="n"/>
      <c r="C568" s="12" t="n"/>
      <c r="E568" s="12" t="n"/>
    </row>
    <row r="569">
      <c r="A569">
        <f>A568+1</f>
        <v/>
      </c>
      <c r="B569" s="12" t="n"/>
      <c r="C569" s="12" t="n"/>
      <c r="E569" s="12" t="n"/>
    </row>
    <row r="570">
      <c r="A570">
        <f>A569+1</f>
        <v/>
      </c>
      <c r="B570" s="12" t="n"/>
      <c r="C570" s="12" t="n"/>
      <c r="E570" s="12" t="n"/>
    </row>
    <row r="571">
      <c r="A571">
        <f>A570+1</f>
        <v/>
      </c>
      <c r="B571" s="12" t="n"/>
      <c r="C571" s="12" t="n"/>
      <c r="E571" s="12" t="n"/>
    </row>
    <row r="572">
      <c r="A572">
        <f>A571+1</f>
        <v/>
      </c>
      <c r="B572" s="12" t="n"/>
      <c r="C572" s="12" t="n"/>
      <c r="E572" s="12" t="n"/>
    </row>
    <row r="573">
      <c r="A573">
        <f>A572+1</f>
        <v/>
      </c>
      <c r="B573" s="12" t="n"/>
      <c r="C573" s="12" t="n"/>
      <c r="E573" s="12" t="n"/>
    </row>
    <row r="574">
      <c r="A574">
        <f>A573+1</f>
        <v/>
      </c>
      <c r="B574" s="12" t="n"/>
      <c r="C574" s="12" t="n"/>
      <c r="E574" s="12" t="n"/>
    </row>
    <row r="575">
      <c r="A575">
        <f>A574+1</f>
        <v/>
      </c>
      <c r="B575" s="12" t="n"/>
      <c r="C575" s="12" t="n"/>
      <c r="E575" s="12" t="n"/>
    </row>
    <row r="576">
      <c r="A576">
        <f>A575+1</f>
        <v/>
      </c>
      <c r="B576" s="12" t="n"/>
      <c r="C576" s="12" t="n"/>
      <c r="E576" s="12" t="n"/>
    </row>
    <row r="577">
      <c r="A577">
        <f>A576+1</f>
        <v/>
      </c>
      <c r="B577" s="12" t="n"/>
      <c r="C577" s="12" t="n"/>
      <c r="E577" s="12" t="n"/>
    </row>
    <row r="578">
      <c r="A578">
        <f>A577+1</f>
        <v/>
      </c>
      <c r="B578" s="12" t="n"/>
      <c r="C578" s="12" t="n"/>
      <c r="E578" s="12" t="n"/>
    </row>
    <row r="579">
      <c r="A579">
        <f>A578+1</f>
        <v/>
      </c>
      <c r="B579" s="12" t="n"/>
      <c r="C579" s="12" t="n"/>
      <c r="E579" s="12" t="n"/>
    </row>
    <row r="580">
      <c r="A580">
        <f>A579+1</f>
        <v/>
      </c>
      <c r="B580" s="12" t="n"/>
      <c r="C580" s="12" t="n"/>
      <c r="E580" s="12" t="n"/>
    </row>
    <row r="581">
      <c r="A581">
        <f>A580+1</f>
        <v/>
      </c>
      <c r="B581" s="12" t="n"/>
      <c r="C581" s="12" t="n"/>
      <c r="E581" s="12" t="n"/>
    </row>
    <row r="582">
      <c r="A582">
        <f>A581+1</f>
        <v/>
      </c>
      <c r="B582" s="12" t="n"/>
      <c r="C582" s="12" t="n"/>
      <c r="E582" s="12" t="n"/>
    </row>
    <row r="583">
      <c r="A583">
        <f>A582+1</f>
        <v/>
      </c>
      <c r="B583" s="12" t="n"/>
      <c r="C583" s="12" t="n"/>
      <c r="E583" s="12" t="n"/>
    </row>
    <row r="584">
      <c r="A584">
        <f>A583+1</f>
        <v/>
      </c>
      <c r="B584" s="12" t="n"/>
      <c r="C584" s="12" t="n"/>
      <c r="E584" s="12" t="n"/>
    </row>
    <row r="585">
      <c r="A585">
        <f>A584+1</f>
        <v/>
      </c>
      <c r="B585" s="12" t="n"/>
      <c r="C585" s="12" t="n"/>
      <c r="E585" s="12" t="n"/>
    </row>
    <row r="586">
      <c r="A586">
        <f>A585+1</f>
        <v/>
      </c>
      <c r="B586" s="12" t="n"/>
      <c r="C586" s="12" t="n"/>
      <c r="E586" s="12" t="n"/>
    </row>
    <row r="587">
      <c r="A587">
        <f>A586+1</f>
        <v/>
      </c>
      <c r="B587" s="12" t="n"/>
      <c r="C587" s="12" t="n"/>
      <c r="E587" s="12" t="n"/>
    </row>
    <row r="588">
      <c r="A588">
        <f>A587+1</f>
        <v/>
      </c>
      <c r="B588" s="12" t="n"/>
      <c r="C588" s="12" t="n"/>
      <c r="E588" s="12" t="n"/>
    </row>
    <row r="589">
      <c r="A589">
        <f>A588+1</f>
        <v/>
      </c>
      <c r="B589" s="12" t="n"/>
      <c r="C589" s="12" t="n"/>
      <c r="E589" s="12" t="n"/>
    </row>
    <row r="590">
      <c r="A590">
        <f>A589+1</f>
        <v/>
      </c>
      <c r="B590" s="12" t="n"/>
      <c r="C590" s="12" t="n"/>
      <c r="E590" s="12" t="n"/>
    </row>
    <row r="591">
      <c r="A591">
        <f>A590+1</f>
        <v/>
      </c>
      <c r="B591" s="12" t="n"/>
      <c r="C591" s="12" t="n"/>
      <c r="E591" s="12" t="n"/>
    </row>
    <row r="592">
      <c r="A592">
        <f>A591+1</f>
        <v/>
      </c>
      <c r="B592" s="12" t="n"/>
      <c r="C592" s="12" t="n"/>
      <c r="E592" s="12" t="n"/>
    </row>
    <row r="593">
      <c r="A593">
        <f>A592+1</f>
        <v/>
      </c>
      <c r="B593" s="12" t="n"/>
      <c r="C593" s="12" t="n"/>
      <c r="E593" s="12" t="n"/>
    </row>
    <row r="594">
      <c r="A594">
        <f>A593+1</f>
        <v/>
      </c>
      <c r="B594" s="12" t="n"/>
      <c r="C594" s="12" t="n"/>
      <c r="E594" s="12" t="n"/>
    </row>
    <row r="595">
      <c r="A595">
        <f>A594+1</f>
        <v/>
      </c>
      <c r="B595" s="12" t="n"/>
      <c r="C595" s="12" t="n"/>
      <c r="E595" s="12" t="n"/>
    </row>
    <row r="596">
      <c r="A596">
        <f>A595+1</f>
        <v/>
      </c>
      <c r="B596" s="12" t="n"/>
      <c r="C596" s="12" t="n"/>
      <c r="E596" s="12" t="n"/>
    </row>
    <row r="597">
      <c r="A597">
        <f>A596+1</f>
        <v/>
      </c>
      <c r="B597" s="12" t="n"/>
      <c r="C597" s="12" t="n"/>
      <c r="E597" s="12" t="n"/>
    </row>
    <row r="598">
      <c r="A598">
        <f>A597+1</f>
        <v/>
      </c>
      <c r="B598" s="12" t="n"/>
      <c r="C598" s="12" t="n"/>
      <c r="E598" s="12" t="n"/>
    </row>
    <row r="599">
      <c r="A599">
        <f>A598+1</f>
        <v/>
      </c>
      <c r="B599" s="12" t="n"/>
      <c r="C599" s="12" t="n"/>
      <c r="E599" s="12" t="n"/>
    </row>
    <row r="600">
      <c r="A600">
        <f>A599+1</f>
        <v/>
      </c>
      <c r="B600" s="12" t="n"/>
      <c r="C600" s="12" t="n"/>
      <c r="E600" s="12" t="n"/>
    </row>
    <row r="601">
      <c r="A601">
        <f>A600+1</f>
        <v/>
      </c>
      <c r="B601" s="12" t="n"/>
      <c r="C601" s="12" t="n"/>
      <c r="E601" s="12" t="n"/>
    </row>
    <row r="602">
      <c r="A602">
        <f>A601+1</f>
        <v/>
      </c>
      <c r="B602" s="12" t="n"/>
      <c r="C602" s="12" t="n"/>
      <c r="E602" s="12" t="n"/>
    </row>
    <row r="603">
      <c r="A603">
        <f>A602+1</f>
        <v/>
      </c>
      <c r="B603" s="12" t="n"/>
      <c r="C603" s="12" t="n"/>
      <c r="E603" s="12" t="n"/>
    </row>
    <row r="604">
      <c r="A604">
        <f>A603+1</f>
        <v/>
      </c>
      <c r="B604" s="12" t="n"/>
      <c r="C604" s="12" t="n"/>
      <c r="E604" s="12" t="n"/>
    </row>
    <row r="605">
      <c r="A605">
        <f>A604+1</f>
        <v/>
      </c>
      <c r="B605" s="12" t="n"/>
      <c r="C605" s="12" t="n"/>
      <c r="E605" s="12" t="n"/>
    </row>
    <row r="606">
      <c r="A606">
        <f>A605+1</f>
        <v/>
      </c>
      <c r="B606" s="12" t="n"/>
      <c r="C606" s="12" t="n"/>
      <c r="E606" s="12" t="n"/>
    </row>
    <row r="607">
      <c r="A607">
        <f>A606+1</f>
        <v/>
      </c>
      <c r="B607" s="12" t="n"/>
      <c r="C607" s="12" t="n"/>
      <c r="E607" s="12" t="n"/>
    </row>
    <row r="608">
      <c r="A608">
        <f>A607+1</f>
        <v/>
      </c>
      <c r="B608" s="12" t="n"/>
      <c r="C608" s="12" t="n"/>
      <c r="E608" s="12" t="n"/>
    </row>
    <row r="609">
      <c r="A609">
        <f>A608+1</f>
        <v/>
      </c>
      <c r="B609" s="12" t="n"/>
      <c r="C609" s="12" t="n"/>
      <c r="E609" s="12" t="n"/>
    </row>
    <row r="610">
      <c r="A610">
        <f>A609+1</f>
        <v/>
      </c>
      <c r="B610" s="12" t="n"/>
      <c r="C610" s="12" t="n"/>
      <c r="E610" s="12" t="n"/>
    </row>
    <row r="611">
      <c r="A611">
        <f>A610+1</f>
        <v/>
      </c>
      <c r="B611" s="12" t="n"/>
      <c r="C611" s="12" t="n"/>
      <c r="E611" s="12" t="n"/>
    </row>
    <row r="612">
      <c r="A612">
        <f>A611+1</f>
        <v/>
      </c>
      <c r="B612" s="12" t="n"/>
      <c r="C612" s="12" t="n"/>
      <c r="E612" s="12" t="n"/>
    </row>
    <row r="613">
      <c r="A613">
        <f>A612+1</f>
        <v/>
      </c>
      <c r="B613" s="12" t="n"/>
      <c r="C613" s="12" t="n"/>
      <c r="E613" s="12" t="n"/>
    </row>
    <row r="614">
      <c r="A614">
        <f>A613+1</f>
        <v/>
      </c>
      <c r="B614" s="12" t="n"/>
      <c r="C614" s="12" t="n"/>
      <c r="E614" s="12" t="n"/>
    </row>
    <row r="615">
      <c r="A615">
        <f>A614+1</f>
        <v/>
      </c>
      <c r="B615" s="12" t="n"/>
      <c r="C615" s="12" t="n"/>
      <c r="E615" s="12" t="n"/>
    </row>
    <row r="616">
      <c r="A616">
        <f>A615+1</f>
        <v/>
      </c>
      <c r="B616" s="12" t="n"/>
      <c r="C616" s="12" t="n"/>
      <c r="E616" s="12" t="n"/>
    </row>
    <row r="617">
      <c r="A617">
        <f>A616+1</f>
        <v/>
      </c>
      <c r="B617" s="12" t="n"/>
      <c r="C617" s="12" t="n"/>
      <c r="E617" s="12" t="n"/>
    </row>
    <row r="618">
      <c r="A618">
        <f>A617+1</f>
        <v/>
      </c>
      <c r="B618" s="12" t="n"/>
      <c r="C618" s="12" t="n"/>
      <c r="E618" s="12" t="n"/>
    </row>
    <row r="619">
      <c r="A619">
        <f>A618+1</f>
        <v/>
      </c>
      <c r="B619" s="12" t="n"/>
      <c r="C619" s="12" t="n"/>
      <c r="E619" s="12" t="n"/>
    </row>
    <row r="620">
      <c r="A620">
        <f>A619+1</f>
        <v/>
      </c>
      <c r="B620" s="12" t="n"/>
      <c r="C620" s="12" t="n"/>
      <c r="E620" s="12" t="n"/>
    </row>
    <row r="621">
      <c r="A621">
        <f>A620+1</f>
        <v/>
      </c>
      <c r="B621" s="12" t="n"/>
      <c r="C621" s="12" t="n"/>
      <c r="E621" s="12" t="n"/>
    </row>
    <row r="622">
      <c r="A622">
        <f>A621+1</f>
        <v/>
      </c>
      <c r="B622" s="12" t="n"/>
      <c r="C622" s="12" t="n"/>
      <c r="E622" s="12" t="n"/>
    </row>
    <row r="623">
      <c r="A623">
        <f>A622+1</f>
        <v/>
      </c>
      <c r="B623" s="12" t="n"/>
      <c r="C623" s="12" t="n"/>
      <c r="E623" s="12" t="n"/>
    </row>
    <row r="624">
      <c r="A624">
        <f>A623+1</f>
        <v/>
      </c>
      <c r="B624" s="12" t="n"/>
      <c r="C624" s="12" t="n"/>
      <c r="E624" s="12" t="n"/>
    </row>
    <row r="625">
      <c r="A625">
        <f>A624+1</f>
        <v/>
      </c>
      <c r="B625" s="12" t="n"/>
      <c r="C625" s="12" t="n"/>
      <c r="E625" s="12" t="n"/>
    </row>
    <row r="626">
      <c r="A626">
        <f>A625+1</f>
        <v/>
      </c>
      <c r="B626" s="12" t="n"/>
      <c r="C626" s="12" t="n"/>
      <c r="E626" s="12" t="n"/>
    </row>
    <row r="627">
      <c r="A627">
        <f>A626+1</f>
        <v/>
      </c>
      <c r="B627" s="12" t="n"/>
      <c r="C627" s="12" t="n"/>
      <c r="E627" s="12" t="n"/>
    </row>
    <row r="628">
      <c r="A628">
        <f>A627+1</f>
        <v/>
      </c>
      <c r="B628" s="12" t="n"/>
      <c r="C628" s="12" t="n"/>
      <c r="E628" s="12" t="n"/>
    </row>
    <row r="629">
      <c r="A629">
        <f>A628+1</f>
        <v/>
      </c>
      <c r="B629" s="12" t="n"/>
      <c r="C629" s="12" t="n"/>
      <c r="E629" s="12" t="n"/>
    </row>
    <row r="630">
      <c r="A630">
        <f>A629+1</f>
        <v/>
      </c>
      <c r="B630" s="12" t="n"/>
      <c r="C630" s="12" t="n"/>
      <c r="E630" s="12" t="n"/>
    </row>
    <row r="631">
      <c r="A631">
        <f>A630+1</f>
        <v/>
      </c>
      <c r="B631" s="12" t="n"/>
      <c r="C631" s="12" t="n"/>
      <c r="E631" s="12" t="n"/>
    </row>
    <row r="632">
      <c r="A632">
        <f>A631+1</f>
        <v/>
      </c>
      <c r="B632" s="12" t="n"/>
      <c r="C632" s="12" t="n"/>
      <c r="E632" s="12" t="n"/>
    </row>
    <row r="633">
      <c r="A633">
        <f>A632+1</f>
        <v/>
      </c>
      <c r="B633" s="12" t="n"/>
      <c r="C633" s="12" t="n"/>
      <c r="E633" s="12" t="n"/>
    </row>
    <row r="634">
      <c r="A634">
        <f>A633+1</f>
        <v/>
      </c>
      <c r="B634" s="12" t="n"/>
      <c r="C634" s="12" t="n"/>
      <c r="E634" s="12" t="n"/>
    </row>
    <row r="635">
      <c r="A635">
        <f>A634+1</f>
        <v/>
      </c>
      <c r="B635" s="12" t="n"/>
      <c r="C635" s="12" t="n"/>
      <c r="E635" s="12" t="n"/>
    </row>
    <row r="636">
      <c r="A636">
        <f>A635+1</f>
        <v/>
      </c>
      <c r="B636" s="12" t="n"/>
      <c r="C636" s="12" t="n"/>
      <c r="E636" s="12" t="n"/>
    </row>
    <row r="637">
      <c r="A637">
        <f>A636+1</f>
        <v/>
      </c>
      <c r="B637" s="12" t="n"/>
      <c r="C637" s="12" t="n"/>
      <c r="E637" s="12" t="n"/>
    </row>
    <row r="638">
      <c r="A638">
        <f>A637+1</f>
        <v/>
      </c>
      <c r="B638" s="12" t="n"/>
      <c r="C638" s="12" t="n"/>
      <c r="E638" s="12" t="n"/>
    </row>
    <row r="639">
      <c r="A639">
        <f>A638+1</f>
        <v/>
      </c>
      <c r="B639" s="12" t="n"/>
      <c r="C639" s="12" t="n"/>
      <c r="E639" s="12" t="n"/>
    </row>
    <row r="640">
      <c r="A640">
        <f>A639+1</f>
        <v/>
      </c>
      <c r="B640" s="12" t="n"/>
      <c r="C640" s="12" t="n"/>
      <c r="E640" s="12" t="n"/>
    </row>
    <row r="641">
      <c r="A641">
        <f>A640+1</f>
        <v/>
      </c>
      <c r="B641" s="12" t="n"/>
      <c r="C641" s="12" t="n"/>
      <c r="E641" s="12" t="n"/>
    </row>
    <row r="642">
      <c r="A642">
        <f>A641+1</f>
        <v/>
      </c>
      <c r="B642" s="12" t="n"/>
      <c r="C642" s="12" t="n"/>
      <c r="E642" s="12" t="n"/>
    </row>
    <row r="643">
      <c r="A643">
        <f>A642+1</f>
        <v/>
      </c>
      <c r="B643" s="12" t="n"/>
      <c r="C643" s="12" t="n"/>
      <c r="E643" s="12" t="n"/>
    </row>
    <row r="644">
      <c r="A644">
        <f>A643+1</f>
        <v/>
      </c>
      <c r="B644" s="12" t="n"/>
      <c r="C644" s="12" t="n"/>
      <c r="E644" s="12" t="n"/>
    </row>
    <row r="645">
      <c r="A645">
        <f>A644+1</f>
        <v/>
      </c>
      <c r="B645" s="12" t="n"/>
      <c r="C645" s="12" t="n"/>
      <c r="E645" s="12" t="n"/>
    </row>
    <row r="646">
      <c r="A646">
        <f>A645+1</f>
        <v/>
      </c>
      <c r="B646" s="12" t="n"/>
      <c r="C646" s="12" t="n"/>
      <c r="E646" s="12" t="n"/>
    </row>
    <row r="647">
      <c r="A647">
        <f>A646+1</f>
        <v/>
      </c>
      <c r="B647" s="12" t="n"/>
      <c r="C647" s="12" t="n"/>
      <c r="E647" s="12" t="n"/>
    </row>
    <row r="648">
      <c r="A648">
        <f>A647+1</f>
        <v/>
      </c>
      <c r="B648" s="12" t="n"/>
      <c r="C648" s="12" t="n"/>
      <c r="E648" s="12" t="n"/>
    </row>
    <row r="649">
      <c r="A649">
        <f>A648+1</f>
        <v/>
      </c>
      <c r="B649" s="12" t="n"/>
      <c r="C649" s="12" t="n"/>
      <c r="E649" s="12" t="n"/>
    </row>
    <row r="650">
      <c r="A650">
        <f>A649+1</f>
        <v/>
      </c>
      <c r="B650" s="12" t="n"/>
      <c r="C650" s="12" t="n"/>
      <c r="E650" s="12" t="n"/>
    </row>
    <row r="651">
      <c r="A651">
        <f>A650+1</f>
        <v/>
      </c>
      <c r="B651" s="12" t="n"/>
      <c r="C651" s="12" t="n"/>
      <c r="E651" s="12" t="n"/>
    </row>
    <row r="652">
      <c r="A652">
        <f>A651+1</f>
        <v/>
      </c>
      <c r="B652" s="12" t="n"/>
      <c r="C652" s="12" t="n"/>
      <c r="E652" s="12" t="n"/>
    </row>
    <row r="653">
      <c r="A653">
        <f>A652+1</f>
        <v/>
      </c>
      <c r="B653" s="12" t="n"/>
      <c r="C653" s="12" t="n"/>
      <c r="E653" s="12" t="n"/>
    </row>
    <row r="654">
      <c r="A654">
        <f>A653+1</f>
        <v/>
      </c>
      <c r="B654" s="12" t="n"/>
      <c r="C654" s="12" t="n"/>
      <c r="E654" s="12" t="n"/>
    </row>
    <row r="655">
      <c r="A655">
        <f>A654+1</f>
        <v/>
      </c>
      <c r="B655" s="12" t="n"/>
      <c r="C655" s="12" t="n"/>
      <c r="E655" s="12" t="n"/>
    </row>
    <row r="656">
      <c r="A656">
        <f>A655+1</f>
        <v/>
      </c>
      <c r="B656" s="12" t="n"/>
      <c r="C656" s="12" t="n"/>
      <c r="E656" s="12" t="n"/>
    </row>
    <row r="657">
      <c r="A657">
        <f>A656+1</f>
        <v/>
      </c>
      <c r="B657" s="12" t="n"/>
      <c r="C657" s="12" t="n"/>
      <c r="E657" s="12" t="n"/>
    </row>
    <row r="658">
      <c r="A658">
        <f>A657+1</f>
        <v/>
      </c>
      <c r="B658" s="12" t="n"/>
      <c r="C658" s="12" t="n"/>
      <c r="E658" s="12" t="n"/>
    </row>
    <row r="659">
      <c r="A659">
        <f>A658+1</f>
        <v/>
      </c>
      <c r="B659" s="12" t="n"/>
      <c r="C659" s="12" t="n"/>
      <c r="E659" s="12" t="n"/>
    </row>
    <row r="660">
      <c r="A660">
        <f>A659+1</f>
        <v/>
      </c>
      <c r="B660" s="12" t="n"/>
      <c r="C660" s="12" t="n"/>
      <c r="E660" s="12" t="n"/>
    </row>
    <row r="661">
      <c r="A661">
        <f>A660+1</f>
        <v/>
      </c>
      <c r="B661" s="12" t="n"/>
      <c r="C661" s="12" t="n"/>
      <c r="E661" s="12" t="n"/>
    </row>
    <row r="662">
      <c r="A662">
        <f>A661+1</f>
        <v/>
      </c>
      <c r="B662" s="12" t="n"/>
      <c r="C662" s="12" t="n"/>
      <c r="E662" s="12" t="n"/>
    </row>
    <row r="663">
      <c r="A663">
        <f>A662+1</f>
        <v/>
      </c>
      <c r="B663" s="12" t="n"/>
      <c r="C663" s="12" t="n"/>
      <c r="E663" s="12" t="n"/>
    </row>
    <row r="664">
      <c r="A664">
        <f>A663+1</f>
        <v/>
      </c>
      <c r="B664" s="12" t="n"/>
      <c r="C664" s="12" t="n"/>
      <c r="E664" s="12" t="n"/>
    </row>
    <row r="665">
      <c r="A665">
        <f>A664+1</f>
        <v/>
      </c>
      <c r="B665" s="12" t="n"/>
      <c r="C665" s="12" t="n"/>
      <c r="E665" s="12" t="n"/>
    </row>
    <row r="666">
      <c r="A666">
        <f>A665+1</f>
        <v/>
      </c>
      <c r="B666" s="12" t="n"/>
      <c r="C666" s="12" t="n"/>
      <c r="E666" s="12" t="n"/>
    </row>
    <row r="667">
      <c r="A667">
        <f>A666+1</f>
        <v/>
      </c>
      <c r="B667" s="12" t="n"/>
      <c r="C667" s="12" t="n"/>
      <c r="E667" s="12" t="n"/>
    </row>
    <row r="668">
      <c r="A668">
        <f>A667+1</f>
        <v/>
      </c>
      <c r="B668" s="12" t="n"/>
      <c r="C668" s="12" t="n"/>
      <c r="E668" s="12" t="n"/>
    </row>
    <row r="669">
      <c r="A669">
        <f>A668+1</f>
        <v/>
      </c>
      <c r="B669" s="12" t="n"/>
      <c r="C669" s="12" t="n"/>
      <c r="E669" s="12" t="n"/>
    </row>
    <row r="670">
      <c r="A670">
        <f>A669+1</f>
        <v/>
      </c>
      <c r="B670" s="12" t="n"/>
      <c r="C670" s="12" t="n"/>
      <c r="E670" s="12" t="n"/>
    </row>
    <row r="671">
      <c r="A671">
        <f>A670+1</f>
        <v/>
      </c>
      <c r="B671" s="12" t="n"/>
      <c r="C671" s="12" t="n"/>
      <c r="E671" s="12" t="n"/>
    </row>
    <row r="672">
      <c r="A672">
        <f>A671+1</f>
        <v/>
      </c>
      <c r="B672" s="12" t="n"/>
      <c r="C672" s="12" t="n"/>
      <c r="E672" s="12" t="n"/>
    </row>
    <row r="673">
      <c r="A673">
        <f>A672+1</f>
        <v/>
      </c>
      <c r="B673" s="12" t="n"/>
      <c r="C673" s="12" t="n"/>
      <c r="E673" s="12" t="n"/>
    </row>
    <row r="674">
      <c r="A674">
        <f>A673+1</f>
        <v/>
      </c>
      <c r="B674" s="12" t="n"/>
      <c r="C674" s="12" t="n"/>
      <c r="E674" s="12" t="n"/>
    </row>
    <row r="675">
      <c r="A675">
        <f>A674+1</f>
        <v/>
      </c>
      <c r="B675" s="12" t="n"/>
      <c r="C675" s="12" t="n"/>
      <c r="E675" s="12" t="n"/>
    </row>
    <row r="676">
      <c r="A676">
        <f>A675+1</f>
        <v/>
      </c>
      <c r="B676" s="12" t="n"/>
      <c r="C676" s="12" t="n"/>
      <c r="E676" s="12" t="n"/>
    </row>
    <row r="677">
      <c r="A677">
        <f>A676+1</f>
        <v/>
      </c>
      <c r="B677" s="12" t="n"/>
      <c r="C677" s="12" t="n"/>
      <c r="E677" s="12" t="n"/>
    </row>
    <row r="678">
      <c r="A678">
        <f>A677+1</f>
        <v/>
      </c>
      <c r="B678" s="12" t="n"/>
      <c r="C678" s="12" t="n"/>
      <c r="E678" s="12" t="n"/>
    </row>
    <row r="679">
      <c r="A679">
        <f>A678+1</f>
        <v/>
      </c>
      <c r="B679" s="12" t="n"/>
      <c r="C679" s="12" t="n"/>
      <c r="E679" s="12" t="n"/>
    </row>
    <row r="680">
      <c r="A680">
        <f>A679+1</f>
        <v/>
      </c>
      <c r="B680" s="12" t="n"/>
      <c r="C680" s="12" t="n"/>
      <c r="E680" s="12" t="n"/>
    </row>
    <row r="681">
      <c r="A681">
        <f>A680+1</f>
        <v/>
      </c>
      <c r="B681" s="12" t="n"/>
      <c r="C681" s="12" t="n"/>
      <c r="E681" s="12" t="n"/>
    </row>
    <row r="682">
      <c r="A682">
        <f>A681+1</f>
        <v/>
      </c>
      <c r="B682" s="12" t="n"/>
      <c r="C682" s="12" t="n"/>
      <c r="E682" s="12" t="n"/>
    </row>
    <row r="683">
      <c r="A683">
        <f>A682+1</f>
        <v/>
      </c>
      <c r="B683" s="12" t="n"/>
      <c r="C683" s="12" t="n"/>
      <c r="E683" s="12" t="n"/>
    </row>
    <row r="684">
      <c r="A684">
        <f>A683+1</f>
        <v/>
      </c>
      <c r="B684" s="12" t="n"/>
      <c r="C684" s="12" t="n"/>
      <c r="E684" s="12" t="n"/>
    </row>
    <row r="685">
      <c r="A685">
        <f>A684+1</f>
        <v/>
      </c>
      <c r="B685" s="12" t="n"/>
      <c r="C685" s="12" t="n"/>
      <c r="E685" s="12" t="n"/>
    </row>
    <row r="686">
      <c r="A686">
        <f>A685+1</f>
        <v/>
      </c>
      <c r="B686" s="12" t="n"/>
      <c r="C686" s="12" t="n"/>
      <c r="E686" s="12" t="n"/>
    </row>
    <row r="687">
      <c r="A687">
        <f>A686+1</f>
        <v/>
      </c>
      <c r="B687" s="12" t="n"/>
      <c r="C687" s="12" t="n"/>
      <c r="E687" s="12" t="n"/>
    </row>
    <row r="688">
      <c r="A688">
        <f>A687+1</f>
        <v/>
      </c>
      <c r="B688" s="12" t="n"/>
      <c r="C688" s="12" t="n"/>
      <c r="E688" s="12" t="n"/>
    </row>
    <row r="689">
      <c r="A689">
        <f>A688+1</f>
        <v/>
      </c>
      <c r="B689" s="12" t="n"/>
      <c r="C689" s="12" t="n"/>
      <c r="E689" s="12" t="n"/>
    </row>
    <row r="690">
      <c r="A690">
        <f>A689+1</f>
        <v/>
      </c>
      <c r="B690" s="12" t="n"/>
      <c r="C690" s="12" t="n"/>
      <c r="E690" s="12" t="n"/>
    </row>
    <row r="691">
      <c r="A691">
        <f>A690+1</f>
        <v/>
      </c>
      <c r="B691" s="12" t="n"/>
      <c r="C691" s="12" t="n"/>
      <c r="E691" s="12" t="n"/>
    </row>
    <row r="692">
      <c r="A692">
        <f>A691+1</f>
        <v/>
      </c>
      <c r="B692" s="12" t="n"/>
      <c r="C692" s="12" t="n"/>
      <c r="E692" s="12" t="n"/>
    </row>
    <row r="693">
      <c r="A693">
        <f>A692+1</f>
        <v/>
      </c>
      <c r="B693" s="12" t="n"/>
      <c r="C693" s="12" t="n"/>
      <c r="E693" s="12" t="n"/>
    </row>
    <row r="694">
      <c r="A694">
        <f>A693+1</f>
        <v/>
      </c>
      <c r="B694" s="12" t="n"/>
      <c r="C694" s="12" t="n"/>
      <c r="E694" s="12" t="n"/>
    </row>
    <row r="695">
      <c r="A695">
        <f>A694+1</f>
        <v/>
      </c>
      <c r="B695" s="12" t="n"/>
      <c r="C695" s="12" t="n"/>
      <c r="E695" s="12" t="n"/>
    </row>
    <row r="696">
      <c r="A696">
        <f>A695+1</f>
        <v/>
      </c>
      <c r="B696" s="12" t="n"/>
      <c r="C696" s="12" t="n"/>
      <c r="E696" s="12" t="n"/>
    </row>
    <row r="697">
      <c r="A697">
        <f>A696+1</f>
        <v/>
      </c>
      <c r="B697" s="12" t="n"/>
      <c r="C697" s="12" t="n"/>
      <c r="E697" s="12" t="n"/>
    </row>
    <row r="698">
      <c r="A698">
        <f>A697+1</f>
        <v/>
      </c>
      <c r="B698" s="12" t="n"/>
      <c r="C698" s="12" t="n"/>
      <c r="E698" s="12" t="n"/>
    </row>
    <row r="699">
      <c r="A699">
        <f>A698+1</f>
        <v/>
      </c>
      <c r="B699" s="12" t="n"/>
      <c r="C699" s="12" t="n"/>
      <c r="E699" s="12" t="n"/>
    </row>
    <row r="700">
      <c r="A700">
        <f>A699+1</f>
        <v/>
      </c>
      <c r="B700" s="12" t="n"/>
      <c r="C700" s="12" t="n"/>
      <c r="E700" s="12" t="n"/>
    </row>
    <row r="701">
      <c r="A701">
        <f>A700+1</f>
        <v/>
      </c>
      <c r="B701" s="12" t="n"/>
      <c r="C701" s="12" t="n"/>
      <c r="E701" s="12" t="n"/>
    </row>
    <row r="702">
      <c r="A702">
        <f>A701+1</f>
        <v/>
      </c>
      <c r="B702" s="12" t="n"/>
      <c r="C702" s="12" t="n"/>
      <c r="E702" s="12" t="n"/>
    </row>
    <row r="703">
      <c r="A703">
        <f>A702+1</f>
        <v/>
      </c>
      <c r="B703" s="12" t="n"/>
      <c r="C703" s="12" t="n"/>
      <c r="E703" s="12" t="n"/>
    </row>
    <row r="704">
      <c r="A704">
        <f>A703+1</f>
        <v/>
      </c>
      <c r="B704" s="12" t="n"/>
      <c r="C704" s="12" t="n"/>
      <c r="E704" s="12" t="n"/>
    </row>
    <row r="705">
      <c r="A705">
        <f>A704+1</f>
        <v/>
      </c>
      <c r="B705" s="12" t="n"/>
      <c r="C705" s="12" t="n"/>
      <c r="E705" s="12" t="n"/>
    </row>
    <row r="706">
      <c r="A706">
        <f>A705+1</f>
        <v/>
      </c>
      <c r="B706" s="12" t="n"/>
      <c r="C706" s="12" t="n"/>
      <c r="E706" s="12" t="n"/>
    </row>
    <row r="707">
      <c r="A707">
        <f>A706+1</f>
        <v/>
      </c>
      <c r="B707" s="12" t="n"/>
      <c r="C707" s="12" t="n"/>
      <c r="E707" s="12" t="n"/>
    </row>
    <row r="708">
      <c r="A708">
        <f>A707+1</f>
        <v/>
      </c>
      <c r="B708" s="12" t="n"/>
      <c r="C708" s="12" t="n"/>
      <c r="E708" s="12" t="n"/>
    </row>
    <row r="709">
      <c r="A709">
        <f>A708+1</f>
        <v/>
      </c>
      <c r="B709" s="12" t="n"/>
      <c r="C709" s="12" t="n"/>
      <c r="E709" s="12" t="n"/>
    </row>
    <row r="710">
      <c r="A710">
        <f>A709+1</f>
        <v/>
      </c>
      <c r="B710" s="12" t="n"/>
      <c r="C710" s="12" t="n"/>
      <c r="E710" s="12" t="n"/>
    </row>
    <row r="711">
      <c r="A711">
        <f>A710+1</f>
        <v/>
      </c>
      <c r="B711" s="12" t="n"/>
      <c r="C711" s="12" t="n"/>
      <c r="E711" s="12" t="n"/>
    </row>
    <row r="712">
      <c r="A712">
        <f>A711+1</f>
        <v/>
      </c>
      <c r="B712" s="12" t="n"/>
      <c r="C712" s="12" t="n"/>
      <c r="E712" s="12" t="n"/>
    </row>
    <row r="713">
      <c r="A713">
        <f>A712+1</f>
        <v/>
      </c>
      <c r="B713" s="12" t="n"/>
      <c r="C713" s="12" t="n"/>
      <c r="E713" s="12" t="n"/>
    </row>
    <row r="714">
      <c r="A714">
        <f>A713+1</f>
        <v/>
      </c>
      <c r="B714" s="12" t="n"/>
      <c r="C714" s="12" t="n"/>
      <c r="E714" s="12" t="n"/>
    </row>
    <row r="715">
      <c r="A715">
        <f>A714+1</f>
        <v/>
      </c>
      <c r="B715" s="12" t="n"/>
      <c r="C715" s="12" t="n"/>
      <c r="E715" s="12" t="n"/>
    </row>
    <row r="716">
      <c r="A716">
        <f>A715+1</f>
        <v/>
      </c>
      <c r="B716" s="12" t="n"/>
      <c r="C716" s="12" t="n"/>
      <c r="E716" s="12" t="n"/>
    </row>
    <row r="717">
      <c r="A717">
        <f>A716+1</f>
        <v/>
      </c>
      <c r="B717" s="12" t="n"/>
      <c r="C717" s="12" t="n"/>
      <c r="E717" s="12" t="n"/>
    </row>
    <row r="718">
      <c r="A718">
        <f>A717+1</f>
        <v/>
      </c>
      <c r="B718" s="12" t="n"/>
      <c r="C718" s="12" t="n"/>
      <c r="E718" s="12" t="n"/>
    </row>
    <row r="719">
      <c r="A719">
        <f>A718+1</f>
        <v/>
      </c>
      <c r="B719" s="12" t="n"/>
      <c r="C719" s="12" t="n"/>
      <c r="E719" s="12" t="n"/>
    </row>
    <row r="720">
      <c r="A720">
        <f>A719+1</f>
        <v/>
      </c>
      <c r="B720" s="12" t="n"/>
      <c r="C720" s="12" t="n"/>
      <c r="E720" s="12" t="n"/>
    </row>
    <row r="721">
      <c r="A721">
        <f>A720+1</f>
        <v/>
      </c>
      <c r="B721" s="12" t="n"/>
      <c r="C721" s="12" t="n"/>
      <c r="E721" s="12" t="n"/>
    </row>
    <row r="722">
      <c r="A722">
        <f>A721+1</f>
        <v/>
      </c>
      <c r="B722" s="12" t="n"/>
      <c r="C722" s="12" t="n"/>
      <c r="E722" s="12" t="n"/>
    </row>
    <row r="723">
      <c r="A723">
        <f>A722+1</f>
        <v/>
      </c>
      <c r="B723" s="12" t="n"/>
      <c r="C723" s="12" t="n"/>
      <c r="E723" s="12" t="n"/>
    </row>
    <row r="724">
      <c r="A724">
        <f>A723+1</f>
        <v/>
      </c>
      <c r="B724" s="12" t="n"/>
      <c r="C724" s="12" t="n"/>
      <c r="E724" s="12" t="n"/>
    </row>
    <row r="725">
      <c r="A725">
        <f>A724+1</f>
        <v/>
      </c>
      <c r="B725" s="12" t="n"/>
      <c r="C725" s="12" t="n"/>
      <c r="E725" s="12" t="n"/>
    </row>
    <row r="726">
      <c r="A726">
        <f>A725+1</f>
        <v/>
      </c>
      <c r="B726" s="12" t="n"/>
      <c r="C726" s="12" t="n"/>
      <c r="E726" s="12" t="n"/>
    </row>
    <row r="727">
      <c r="A727">
        <f>A726+1</f>
        <v/>
      </c>
      <c r="B727" s="12" t="n"/>
      <c r="C727" s="12" t="n"/>
      <c r="E727" s="12" t="n"/>
    </row>
    <row r="728">
      <c r="A728">
        <f>A727+1</f>
        <v/>
      </c>
      <c r="B728" s="12" t="n"/>
      <c r="C728" s="12" t="n"/>
      <c r="E728" s="12" t="n"/>
    </row>
    <row r="729">
      <c r="A729">
        <f>A728+1</f>
        <v/>
      </c>
      <c r="B729" s="12" t="n"/>
      <c r="C729" s="12" t="n"/>
      <c r="E729" s="12" t="n"/>
    </row>
    <row r="730">
      <c r="A730">
        <f>A729+1</f>
        <v/>
      </c>
      <c r="B730" s="12" t="n"/>
      <c r="C730" s="12" t="n"/>
      <c r="E730" s="12" t="n"/>
    </row>
    <row r="731">
      <c r="A731">
        <f>A730+1</f>
        <v/>
      </c>
      <c r="B731" s="12" t="n"/>
      <c r="C731" s="12" t="n"/>
      <c r="E731" s="12" t="n"/>
    </row>
    <row r="732">
      <c r="A732">
        <f>A731+1</f>
        <v/>
      </c>
      <c r="B732" s="12" t="n"/>
      <c r="C732" s="12" t="n"/>
      <c r="E732" s="12" t="n"/>
    </row>
    <row r="733">
      <c r="A733">
        <f>A732+1</f>
        <v/>
      </c>
      <c r="B733" s="12" t="n"/>
      <c r="C733" s="12" t="n"/>
      <c r="E733" s="12" t="n"/>
    </row>
    <row r="734">
      <c r="A734">
        <f>A733+1</f>
        <v/>
      </c>
      <c r="B734" s="12" t="n"/>
      <c r="C734" s="12" t="n"/>
      <c r="E734" s="12" t="n"/>
    </row>
    <row r="735">
      <c r="A735">
        <f>A734+1</f>
        <v/>
      </c>
      <c r="B735" s="12" t="n"/>
      <c r="C735" s="12" t="n"/>
      <c r="E735" s="12" t="n"/>
    </row>
    <row r="736">
      <c r="A736">
        <f>A735+1</f>
        <v/>
      </c>
      <c r="B736" s="12" t="n"/>
      <c r="C736" s="12" t="n"/>
      <c r="E736" s="12" t="n"/>
    </row>
    <row r="737">
      <c r="A737">
        <f>A736+1</f>
        <v/>
      </c>
      <c r="B737" s="12" t="n"/>
      <c r="C737" s="12" t="n"/>
      <c r="E737" s="12" t="n"/>
    </row>
    <row r="738">
      <c r="A738">
        <f>A737+1</f>
        <v/>
      </c>
      <c r="B738" s="12" t="n"/>
      <c r="C738" s="12" t="n"/>
      <c r="E738" s="12" t="n"/>
    </row>
    <row r="739">
      <c r="A739">
        <f>A738+1</f>
        <v/>
      </c>
      <c r="B739" s="12" t="n"/>
      <c r="C739" s="12" t="n"/>
      <c r="E739" s="12" t="n"/>
    </row>
    <row r="740">
      <c r="A740">
        <f>A739+1</f>
        <v/>
      </c>
      <c r="B740" s="12" t="n"/>
      <c r="C740" s="12" t="n"/>
      <c r="E740" s="12" t="n"/>
    </row>
    <row r="741">
      <c r="A741">
        <f>A740+1</f>
        <v/>
      </c>
      <c r="B741" s="12" t="n"/>
      <c r="C741" s="12" t="n"/>
      <c r="E741" s="12" t="n"/>
    </row>
    <row r="742">
      <c r="A742">
        <f>A741+1</f>
        <v/>
      </c>
      <c r="B742" s="12" t="n"/>
      <c r="C742" s="12" t="n"/>
      <c r="E742" s="12" t="n"/>
    </row>
    <row r="743">
      <c r="A743">
        <f>A742+1</f>
        <v/>
      </c>
      <c r="B743" s="12" t="n"/>
      <c r="C743" s="12" t="n"/>
      <c r="E743" s="12" t="n"/>
    </row>
    <row r="744">
      <c r="A744">
        <f>A743+1</f>
        <v/>
      </c>
      <c r="B744" s="12" t="n"/>
      <c r="C744" s="12" t="n"/>
      <c r="E744" s="12" t="n"/>
    </row>
    <row r="745">
      <c r="A745">
        <f>A744+1</f>
        <v/>
      </c>
      <c r="B745" s="12" t="n"/>
      <c r="C745" s="12" t="n"/>
      <c r="E745" s="12" t="n"/>
    </row>
    <row r="746">
      <c r="A746">
        <f>A745+1</f>
        <v/>
      </c>
      <c r="B746" s="12" t="n"/>
      <c r="C746" s="12" t="n"/>
      <c r="E746" s="12" t="n"/>
    </row>
    <row r="747">
      <c r="A747">
        <f>A746+1</f>
        <v/>
      </c>
      <c r="B747" s="12" t="n"/>
      <c r="C747" s="12" t="n"/>
      <c r="E747" s="12" t="n"/>
    </row>
    <row r="748">
      <c r="A748">
        <f>A747+1</f>
        <v/>
      </c>
      <c r="B748" s="12" t="n"/>
      <c r="C748" s="12" t="n"/>
      <c r="E748" s="12" t="n"/>
    </row>
    <row r="749">
      <c r="A749">
        <f>A748+1</f>
        <v/>
      </c>
      <c r="B749" s="12" t="n"/>
      <c r="C749" s="12" t="n"/>
      <c r="E749" s="12" t="n"/>
    </row>
    <row r="750">
      <c r="A750">
        <f>A749+1</f>
        <v/>
      </c>
      <c r="B750" s="12" t="n"/>
      <c r="C750" s="12" t="n"/>
      <c r="E750" s="12" t="n"/>
    </row>
    <row r="751">
      <c r="A751">
        <f>A750+1</f>
        <v/>
      </c>
      <c r="B751" s="12" t="n"/>
      <c r="C751" s="12" t="n"/>
      <c r="E751" s="12" t="n"/>
    </row>
    <row r="752">
      <c r="A752">
        <f>A751+1</f>
        <v/>
      </c>
      <c r="B752" s="12" t="n"/>
      <c r="C752" s="12" t="n"/>
      <c r="E752" s="12" t="n"/>
    </row>
    <row r="753">
      <c r="A753">
        <f>A752+1</f>
        <v/>
      </c>
      <c r="B753" s="12" t="n"/>
      <c r="C753" s="12" t="n"/>
      <c r="E753" s="12" t="n"/>
    </row>
    <row r="754">
      <c r="A754">
        <f>A753+1</f>
        <v/>
      </c>
      <c r="B754" s="12" t="n"/>
      <c r="C754" s="12" t="n"/>
      <c r="E754" s="12" t="n"/>
    </row>
    <row r="755">
      <c r="A755">
        <f>A754+1</f>
        <v/>
      </c>
      <c r="B755" s="12" t="n"/>
      <c r="C755" s="12" t="n"/>
      <c r="E755" s="12" t="n"/>
    </row>
    <row r="756">
      <c r="A756">
        <f>A755+1</f>
        <v/>
      </c>
      <c r="B756" s="12" t="n"/>
      <c r="C756" s="12" t="n"/>
      <c r="E756" s="12" t="n"/>
    </row>
    <row r="757">
      <c r="A757">
        <f>A756+1</f>
        <v/>
      </c>
      <c r="B757" s="12" t="n"/>
      <c r="C757" s="12" t="n"/>
      <c r="E757" s="12" t="n"/>
    </row>
    <row r="758">
      <c r="A758">
        <f>A757+1</f>
        <v/>
      </c>
      <c r="B758" s="12" t="n"/>
      <c r="C758" s="12" t="n"/>
      <c r="E758" s="12" t="n"/>
    </row>
    <row r="759">
      <c r="A759">
        <f>A758+1</f>
        <v/>
      </c>
      <c r="B759" s="12" t="n"/>
      <c r="C759" s="12" t="n"/>
      <c r="E759" s="12" t="n"/>
    </row>
    <row r="760">
      <c r="A760">
        <f>A759+1</f>
        <v/>
      </c>
      <c r="B760" s="12" t="n"/>
      <c r="C760" s="12" t="n"/>
      <c r="E760" s="12" t="n"/>
    </row>
    <row r="761">
      <c r="A761">
        <f>A760+1</f>
        <v/>
      </c>
      <c r="B761" s="12" t="n"/>
      <c r="C761" s="12" t="n"/>
      <c r="E761" s="12" t="n"/>
    </row>
    <row r="762">
      <c r="A762">
        <f>A761+1</f>
        <v/>
      </c>
      <c r="B762" s="12" t="n"/>
      <c r="C762" s="12" t="n"/>
      <c r="E762" s="12" t="n"/>
    </row>
    <row r="763">
      <c r="A763">
        <f>A762+1</f>
        <v/>
      </c>
      <c r="B763" s="12" t="n"/>
      <c r="C763" s="12" t="n"/>
      <c r="E763" s="12" t="n"/>
    </row>
    <row r="764">
      <c r="A764">
        <f>A763+1</f>
        <v/>
      </c>
      <c r="B764" s="12" t="n"/>
      <c r="C764" s="12" t="n"/>
      <c r="E764" s="12" t="n"/>
    </row>
    <row r="765">
      <c r="A765">
        <f>A764+1</f>
        <v/>
      </c>
      <c r="B765" s="12" t="n"/>
      <c r="C765" s="12" t="n"/>
      <c r="E765" s="12" t="n"/>
    </row>
    <row r="766">
      <c r="A766">
        <f>A765+1</f>
        <v/>
      </c>
      <c r="B766" s="12" t="n"/>
      <c r="C766" s="12" t="n"/>
      <c r="E766" s="12" t="n"/>
    </row>
    <row r="767">
      <c r="A767">
        <f>A766+1</f>
        <v/>
      </c>
      <c r="B767" s="12" t="n"/>
      <c r="C767" s="12" t="n"/>
      <c r="E767" s="12" t="n"/>
    </row>
    <row r="768">
      <c r="A768">
        <f>A767+1</f>
        <v/>
      </c>
      <c r="B768" s="12" t="n"/>
      <c r="C768" s="12" t="n"/>
      <c r="E768" s="12" t="n"/>
    </row>
    <row r="769">
      <c r="A769">
        <f>A768+1</f>
        <v/>
      </c>
      <c r="B769" s="12" t="n"/>
      <c r="C769" s="12" t="n"/>
      <c r="E769" s="12" t="n"/>
    </row>
    <row r="770">
      <c r="A770">
        <f>A769+1</f>
        <v/>
      </c>
      <c r="B770" s="12" t="n"/>
      <c r="C770" s="12" t="n"/>
      <c r="E770" s="12" t="n"/>
    </row>
    <row r="771">
      <c r="A771">
        <f>A770+1</f>
        <v/>
      </c>
      <c r="B771" s="12" t="n"/>
      <c r="C771" s="12" t="n"/>
      <c r="E771" s="12" t="n"/>
    </row>
    <row r="772">
      <c r="A772">
        <f>A771+1</f>
        <v/>
      </c>
      <c r="B772" s="12" t="n"/>
      <c r="C772" s="12" t="n"/>
      <c r="E772" s="12" t="n"/>
    </row>
    <row r="773">
      <c r="A773">
        <f>A772+1</f>
        <v/>
      </c>
      <c r="B773" s="12" t="n"/>
      <c r="C773" s="12" t="n"/>
      <c r="E773" s="12" t="n"/>
    </row>
    <row r="774">
      <c r="A774">
        <f>A773+1</f>
        <v/>
      </c>
      <c r="B774" s="12" t="n"/>
      <c r="C774" s="12" t="n"/>
      <c r="E774" s="12" t="n"/>
    </row>
    <row r="775">
      <c r="A775">
        <f>A774+1</f>
        <v/>
      </c>
      <c r="B775" s="12" t="n"/>
      <c r="C775" s="12" t="n"/>
      <c r="E775" s="12" t="n"/>
    </row>
    <row r="776">
      <c r="A776">
        <f>A775+1</f>
        <v/>
      </c>
      <c r="B776" s="12" t="n"/>
      <c r="C776" s="12" t="n"/>
      <c r="E776" s="12" t="n"/>
    </row>
    <row r="777">
      <c r="A777">
        <f>A776+1</f>
        <v/>
      </c>
      <c r="B777" s="12" t="n"/>
      <c r="C777" s="12" t="n"/>
      <c r="E777" s="12" t="n"/>
    </row>
    <row r="778">
      <c r="A778">
        <f>A777+1</f>
        <v/>
      </c>
      <c r="B778" s="12" t="n"/>
      <c r="C778" s="12" t="n"/>
      <c r="E778" s="12" t="n"/>
    </row>
    <row r="779">
      <c r="A779">
        <f>A778+1</f>
        <v/>
      </c>
      <c r="B779" s="12" t="n"/>
      <c r="C779" s="12" t="n"/>
      <c r="E779" s="12" t="n"/>
    </row>
    <row r="780">
      <c r="A780">
        <f>A779+1</f>
        <v/>
      </c>
      <c r="B780" s="12" t="n"/>
      <c r="C780" s="12" t="n"/>
      <c r="E780" s="12" t="n"/>
    </row>
    <row r="781">
      <c r="A781">
        <f>A780+1</f>
        <v/>
      </c>
      <c r="B781" s="12" t="n"/>
      <c r="C781" s="12" t="n"/>
      <c r="E781" s="12" t="n"/>
    </row>
    <row r="782">
      <c r="A782">
        <f>A781+1</f>
        <v/>
      </c>
      <c r="B782" s="12" t="n"/>
      <c r="C782" s="12" t="n"/>
      <c r="E782" s="12" t="n"/>
    </row>
    <row r="783">
      <c r="A783">
        <f>A782+1</f>
        <v/>
      </c>
      <c r="B783" s="12" t="n"/>
      <c r="C783" s="12" t="n"/>
      <c r="E783" s="12" t="n"/>
    </row>
    <row r="784">
      <c r="A784">
        <f>A783+1</f>
        <v/>
      </c>
      <c r="B784" s="12" t="n"/>
      <c r="C784" s="12" t="n"/>
      <c r="E784" s="12" t="n"/>
    </row>
    <row r="785">
      <c r="A785">
        <f>A784+1</f>
        <v/>
      </c>
      <c r="B785" s="12" t="n"/>
      <c r="C785" s="12" t="n"/>
      <c r="E785" s="12" t="n"/>
    </row>
    <row r="786">
      <c r="A786">
        <f>A785+1</f>
        <v/>
      </c>
      <c r="B786" s="12" t="n"/>
      <c r="C786" s="12" t="n"/>
      <c r="E786" s="12" t="n"/>
    </row>
    <row r="787">
      <c r="A787">
        <f>A786+1</f>
        <v/>
      </c>
      <c r="B787" s="12" t="n"/>
      <c r="C787" s="12" t="n"/>
      <c r="E787" s="12" t="n"/>
    </row>
    <row r="788">
      <c r="A788">
        <f>A787+1</f>
        <v/>
      </c>
      <c r="B788" s="12" t="n"/>
      <c r="C788" s="12" t="n"/>
      <c r="E788" s="12" t="n"/>
    </row>
    <row r="789">
      <c r="A789">
        <f>A788+1</f>
        <v/>
      </c>
      <c r="B789" s="12" t="n"/>
      <c r="C789" s="12" t="n"/>
      <c r="E789" s="12" t="n"/>
    </row>
    <row r="790">
      <c r="A790">
        <f>A789+1</f>
        <v/>
      </c>
      <c r="B790" s="12" t="n"/>
      <c r="C790" s="12" t="n"/>
      <c r="E790" s="12" t="n"/>
    </row>
    <row r="791">
      <c r="A791">
        <f>A790+1</f>
        <v/>
      </c>
      <c r="B791" s="12" t="n"/>
      <c r="C791" s="12" t="n"/>
      <c r="E791" s="12" t="n"/>
    </row>
    <row r="792">
      <c r="A792">
        <f>A791+1</f>
        <v/>
      </c>
      <c r="B792" s="12" t="n"/>
      <c r="C792" s="12" t="n"/>
      <c r="E792" s="12" t="n"/>
    </row>
    <row r="793">
      <c r="A793">
        <f>A792+1</f>
        <v/>
      </c>
      <c r="B793" s="12" t="n"/>
      <c r="C793" s="12" t="n"/>
      <c r="E793" s="12" t="n"/>
    </row>
    <row r="794">
      <c r="A794">
        <f>A793+1</f>
        <v/>
      </c>
      <c r="B794" s="12" t="n"/>
      <c r="C794" s="12" t="n"/>
      <c r="E794" s="12" t="n"/>
    </row>
    <row r="795">
      <c r="A795">
        <f>A794+1</f>
        <v/>
      </c>
      <c r="B795" s="12" t="n"/>
      <c r="C795" s="12" t="n"/>
      <c r="E795" s="12" t="n"/>
    </row>
    <row r="796">
      <c r="A796">
        <f>A795+1</f>
        <v/>
      </c>
      <c r="B796" s="12" t="n"/>
      <c r="C796" s="12" t="n"/>
      <c r="E796" s="12" t="n"/>
    </row>
    <row r="797">
      <c r="A797">
        <f>A796+1</f>
        <v/>
      </c>
      <c r="B797" s="12" t="n"/>
      <c r="C797" s="12" t="n"/>
      <c r="E797" s="12" t="n"/>
    </row>
    <row r="798">
      <c r="A798">
        <f>A797+1</f>
        <v/>
      </c>
      <c r="B798" s="12" t="n"/>
      <c r="C798" s="12" t="n"/>
      <c r="E798" s="12" t="n"/>
    </row>
    <row r="799">
      <c r="A799">
        <f>A798+1</f>
        <v/>
      </c>
      <c r="B799" s="12" t="n"/>
      <c r="C799" s="12" t="n"/>
      <c r="E799" s="12" t="n"/>
    </row>
    <row r="800">
      <c r="A800">
        <f>A799+1</f>
        <v/>
      </c>
      <c r="B800" s="12" t="n"/>
      <c r="C800" s="12" t="n"/>
      <c r="E800" s="12" t="n"/>
    </row>
    <row r="801">
      <c r="A801">
        <f>A800+1</f>
        <v/>
      </c>
      <c r="B801" s="12" t="n"/>
      <c r="C801" s="12" t="n"/>
      <c r="E801" s="12" t="n"/>
    </row>
    <row r="802">
      <c r="A802">
        <f>A801+1</f>
        <v/>
      </c>
      <c r="B802" s="12" t="n"/>
      <c r="C802" s="12" t="n"/>
      <c r="E802" s="12" t="n"/>
    </row>
    <row r="803">
      <c r="A803">
        <f>A802+1</f>
        <v/>
      </c>
      <c r="B803" s="12" t="n"/>
      <c r="C803" s="12" t="n"/>
      <c r="E803" s="12" t="n"/>
    </row>
    <row r="804">
      <c r="A804">
        <f>A803+1</f>
        <v/>
      </c>
      <c r="B804" s="12" t="n"/>
      <c r="C804" s="12" t="n"/>
      <c r="E804" s="12" t="n"/>
    </row>
    <row r="805">
      <c r="A805">
        <f>A804+1</f>
        <v/>
      </c>
      <c r="B805" s="12" t="n"/>
      <c r="C805" s="12" t="n"/>
      <c r="E805" s="12" t="n"/>
    </row>
    <row r="806">
      <c r="A806">
        <f>A805+1</f>
        <v/>
      </c>
      <c r="B806" s="12" t="n"/>
      <c r="C806" s="12" t="n"/>
      <c r="E806" s="12" t="n"/>
    </row>
    <row r="807">
      <c r="A807">
        <f>A806+1</f>
        <v/>
      </c>
      <c r="B807" s="12" t="n"/>
      <c r="C807" s="12" t="n"/>
      <c r="E807" s="12" t="n"/>
    </row>
    <row r="808">
      <c r="A808">
        <f>A807+1</f>
        <v/>
      </c>
      <c r="B808" s="12" t="n"/>
      <c r="C808" s="12" t="n"/>
      <c r="E808" s="12" t="n"/>
    </row>
    <row r="809">
      <c r="A809">
        <f>A808+1</f>
        <v/>
      </c>
      <c r="B809" s="12" t="n"/>
      <c r="C809" s="12" t="n"/>
      <c r="E809" s="12" t="n"/>
    </row>
    <row r="810">
      <c r="A810">
        <f>A809+1</f>
        <v/>
      </c>
      <c r="B810" s="12" t="n"/>
      <c r="C810" s="12" t="n"/>
      <c r="E810" s="12" t="n"/>
    </row>
    <row r="811">
      <c r="A811">
        <f>A810+1</f>
        <v/>
      </c>
      <c r="B811" s="12" t="n"/>
      <c r="C811" s="12" t="n"/>
      <c r="E811" s="12" t="n"/>
    </row>
    <row r="812">
      <c r="A812">
        <f>A811+1</f>
        <v/>
      </c>
      <c r="B812" s="12" t="n"/>
      <c r="C812" s="12" t="n"/>
      <c r="E812" s="12" t="n"/>
    </row>
    <row r="813">
      <c r="A813">
        <f>A812+1</f>
        <v/>
      </c>
      <c r="B813" s="12" t="n"/>
      <c r="C813" s="12" t="n"/>
      <c r="E813" s="12" t="n"/>
    </row>
    <row r="814">
      <c r="A814">
        <f>A813+1</f>
        <v/>
      </c>
      <c r="B814" s="12" t="n"/>
      <c r="C814" s="12" t="n"/>
      <c r="E814" s="12" t="n"/>
    </row>
    <row r="815">
      <c r="A815">
        <f>A814+1</f>
        <v/>
      </c>
      <c r="B815" s="12" t="n"/>
      <c r="C815" s="12" t="n"/>
      <c r="E815" s="12" t="n"/>
    </row>
    <row r="816">
      <c r="A816">
        <f>A815+1</f>
        <v/>
      </c>
      <c r="B816" s="12" t="n"/>
      <c r="C816" s="12" t="n"/>
      <c r="E816" s="12" t="n"/>
    </row>
    <row r="817">
      <c r="A817">
        <f>A816+1</f>
        <v/>
      </c>
      <c r="B817" s="12" t="n"/>
      <c r="C817" s="12" t="n"/>
      <c r="E817" s="12" t="n"/>
    </row>
    <row r="818">
      <c r="A818">
        <f>A817+1</f>
        <v/>
      </c>
      <c r="B818" s="12" t="n"/>
      <c r="C818" s="12" t="n"/>
      <c r="E818" s="12" t="n"/>
    </row>
    <row r="819">
      <c r="A819">
        <f>A818+1</f>
        <v/>
      </c>
      <c r="B819" s="12" t="n"/>
      <c r="C819" s="12" t="n"/>
      <c r="E819" s="12" t="n"/>
    </row>
    <row r="820">
      <c r="A820">
        <f>A819+1</f>
        <v/>
      </c>
      <c r="B820" s="12" t="n"/>
      <c r="C820" s="12" t="n"/>
      <c r="E820" s="12" t="n"/>
    </row>
    <row r="821">
      <c r="A821">
        <f>A820+1</f>
        <v/>
      </c>
      <c r="B821" s="12" t="n"/>
      <c r="C821" s="12" t="n"/>
      <c r="E821" s="12" t="n"/>
    </row>
    <row r="822">
      <c r="A822">
        <f>A821+1</f>
        <v/>
      </c>
      <c r="B822" s="12" t="n"/>
      <c r="C822" s="12" t="n"/>
      <c r="E822" s="12" t="n"/>
    </row>
    <row r="823">
      <c r="A823">
        <f>A822+1</f>
        <v/>
      </c>
      <c r="B823" s="12" t="n"/>
      <c r="C823" s="12" t="n"/>
      <c r="E823" s="12" t="n"/>
    </row>
    <row r="824">
      <c r="A824">
        <f>A823+1</f>
        <v/>
      </c>
      <c r="B824" s="12" t="n"/>
      <c r="C824" s="12" t="n"/>
      <c r="E824" s="12" t="n"/>
    </row>
    <row r="825">
      <c r="A825">
        <f>A824+1</f>
        <v/>
      </c>
      <c r="B825" s="12" t="n"/>
      <c r="C825" s="12" t="n"/>
      <c r="E825" s="12" t="n"/>
    </row>
    <row r="826">
      <c r="A826">
        <f>A825+1</f>
        <v/>
      </c>
      <c r="B826" s="12" t="n"/>
      <c r="C826" s="12" t="n"/>
      <c r="E826" s="12" t="n"/>
    </row>
    <row r="827">
      <c r="A827">
        <f>A826+1</f>
        <v/>
      </c>
      <c r="B827" s="12" t="n"/>
      <c r="C827" s="12" t="n"/>
      <c r="E827" s="12" t="n"/>
    </row>
    <row r="828">
      <c r="A828">
        <f>A827+1</f>
        <v/>
      </c>
      <c r="B828" s="12" t="n"/>
      <c r="C828" s="12" t="n"/>
      <c r="E828" s="12" t="n"/>
    </row>
    <row r="829">
      <c r="A829">
        <f>A828+1</f>
        <v/>
      </c>
      <c r="B829" s="12" t="n"/>
      <c r="C829" s="12" t="n"/>
      <c r="E829" s="12" t="n"/>
    </row>
    <row r="830">
      <c r="A830">
        <f>A829+1</f>
        <v/>
      </c>
      <c r="B830" s="12" t="n"/>
      <c r="C830" s="12" t="n"/>
      <c r="E830" s="12" t="n"/>
    </row>
    <row r="831">
      <c r="A831">
        <f>A830+1</f>
        <v/>
      </c>
      <c r="B831" s="12" t="n"/>
      <c r="C831" s="12" t="n"/>
      <c r="E831" s="12" t="n"/>
    </row>
    <row r="832">
      <c r="A832">
        <f>A831+1</f>
        <v/>
      </c>
      <c r="B832" s="12" t="n"/>
      <c r="C832" s="12" t="n"/>
      <c r="E832" s="12" t="n"/>
    </row>
    <row r="833">
      <c r="A833">
        <f>A832+1</f>
        <v/>
      </c>
      <c r="B833" s="12" t="n"/>
      <c r="C833" s="12" t="n"/>
      <c r="E833" s="12" t="n"/>
    </row>
    <row r="834">
      <c r="A834">
        <f>A833+1</f>
        <v/>
      </c>
      <c r="B834" s="12" t="n"/>
      <c r="C834" s="12" t="n"/>
      <c r="E834" s="12" t="n"/>
    </row>
    <row r="835">
      <c r="A835">
        <f>A834+1</f>
        <v/>
      </c>
      <c r="B835" s="12" t="n"/>
      <c r="C835" s="12" t="n"/>
      <c r="E835" s="12" t="n"/>
    </row>
    <row r="836">
      <c r="A836">
        <f>A835+1</f>
        <v/>
      </c>
      <c r="B836" s="12" t="n"/>
      <c r="C836" s="12" t="n"/>
      <c r="E836" s="12" t="n"/>
    </row>
    <row r="837">
      <c r="A837">
        <f>A836+1</f>
        <v/>
      </c>
      <c r="B837" s="12" t="n"/>
      <c r="C837" s="12" t="n"/>
      <c r="E837" s="12" t="n"/>
    </row>
    <row r="838">
      <c r="A838">
        <f>A837+1</f>
        <v/>
      </c>
      <c r="B838" s="12" t="n"/>
      <c r="C838" s="12" t="n"/>
      <c r="E838" s="12" t="n"/>
    </row>
    <row r="839">
      <c r="A839">
        <f>A838+1</f>
        <v/>
      </c>
      <c r="B839" s="12" t="n"/>
      <c r="C839" s="12" t="n"/>
      <c r="E839" s="12" t="n"/>
    </row>
    <row r="840">
      <c r="A840">
        <f>A839+1</f>
        <v/>
      </c>
      <c r="B840" s="12" t="n"/>
      <c r="C840" s="12" t="n"/>
      <c r="E840" s="12" t="n"/>
    </row>
    <row r="841">
      <c r="A841">
        <f>A840+1</f>
        <v/>
      </c>
      <c r="B841" s="12" t="n"/>
      <c r="C841" s="12" t="n"/>
      <c r="E841" s="12" t="n"/>
    </row>
    <row r="842">
      <c r="A842">
        <f>A841+1</f>
        <v/>
      </c>
      <c r="B842" s="12" t="n"/>
      <c r="C842" s="12" t="n"/>
      <c r="E842" s="12" t="n"/>
    </row>
    <row r="843">
      <c r="A843">
        <f>A842+1</f>
        <v/>
      </c>
      <c r="B843" s="12" t="n"/>
      <c r="C843" s="12" t="n"/>
      <c r="E843" s="12" t="n"/>
    </row>
    <row r="844">
      <c r="A844">
        <f>A843+1</f>
        <v/>
      </c>
      <c r="B844" s="12" t="n"/>
      <c r="C844" s="12" t="n"/>
      <c r="E844" s="12" t="n"/>
    </row>
    <row r="845">
      <c r="A845">
        <f>A844+1</f>
        <v/>
      </c>
      <c r="B845" s="12" t="n"/>
      <c r="C845" s="12" t="n"/>
      <c r="E845" s="12" t="n"/>
    </row>
    <row r="846">
      <c r="A846">
        <f>A845+1</f>
        <v/>
      </c>
      <c r="B846" s="12" t="n"/>
      <c r="C846" s="12" t="n"/>
      <c r="E846" s="12" t="n"/>
    </row>
    <row r="847">
      <c r="A847">
        <f>A846+1</f>
        <v/>
      </c>
      <c r="B847" s="12" t="n"/>
      <c r="C847" s="12" t="n"/>
      <c r="E847" s="12" t="n"/>
    </row>
    <row r="848">
      <c r="A848">
        <f>A847+1</f>
        <v/>
      </c>
      <c r="B848" s="12" t="n"/>
      <c r="C848" s="12" t="n"/>
      <c r="E848" s="12" t="n"/>
    </row>
    <row r="849">
      <c r="A849">
        <f>A848+1</f>
        <v/>
      </c>
      <c r="B849" s="12" t="n"/>
      <c r="C849" s="12" t="n"/>
      <c r="E849" s="12" t="n"/>
    </row>
    <row r="850">
      <c r="A850">
        <f>A849+1</f>
        <v/>
      </c>
      <c r="B850" s="12" t="n"/>
      <c r="C850" s="12" t="n"/>
      <c r="E850" s="12" t="n"/>
    </row>
    <row r="851">
      <c r="A851">
        <f>A850+1</f>
        <v/>
      </c>
      <c r="B851" s="12" t="n"/>
      <c r="C851" s="12" t="n"/>
      <c r="E851" s="12" t="n"/>
    </row>
    <row r="852">
      <c r="A852">
        <f>A851+1</f>
        <v/>
      </c>
      <c r="B852" s="12" t="n"/>
      <c r="C852" s="12" t="n"/>
      <c r="E852" s="12" t="n"/>
    </row>
    <row r="853">
      <c r="A853">
        <f>A852+1</f>
        <v/>
      </c>
      <c r="B853" s="12" t="n"/>
      <c r="C853" s="12" t="n"/>
      <c r="E853" s="12" t="n"/>
    </row>
    <row r="854">
      <c r="A854">
        <f>A853+1</f>
        <v/>
      </c>
      <c r="B854" s="12" t="n"/>
      <c r="C854" s="12" t="n"/>
      <c r="E854" s="12" t="n"/>
    </row>
    <row r="855">
      <c r="A855">
        <f>A854+1</f>
        <v/>
      </c>
      <c r="B855" s="12" t="n"/>
      <c r="C855" s="12" t="n"/>
      <c r="E855" s="12" t="n"/>
    </row>
    <row r="856">
      <c r="A856">
        <f>A855+1</f>
        <v/>
      </c>
      <c r="B856" s="12" t="n"/>
      <c r="C856" s="12" t="n"/>
      <c r="E856" s="12" t="n"/>
    </row>
    <row r="857">
      <c r="A857">
        <f>A856+1</f>
        <v/>
      </c>
      <c r="B857" s="12" t="n"/>
      <c r="C857" s="12" t="n"/>
      <c r="E857" s="12" t="n"/>
    </row>
    <row r="858">
      <c r="A858">
        <f>A857+1</f>
        <v/>
      </c>
      <c r="B858" s="12" t="n"/>
      <c r="C858" s="12" t="n"/>
      <c r="E858" s="12" t="n"/>
    </row>
    <row r="859">
      <c r="A859">
        <f>A858+1</f>
        <v/>
      </c>
      <c r="B859" s="12" t="n"/>
      <c r="C859" s="12" t="n"/>
      <c r="E859" s="12" t="n"/>
    </row>
    <row r="860">
      <c r="A860">
        <f>A859+1</f>
        <v/>
      </c>
      <c r="B860" s="12" t="n"/>
      <c r="C860" s="12" t="n"/>
      <c r="E860" s="12" t="n"/>
    </row>
    <row r="861">
      <c r="A861">
        <f>A860+1</f>
        <v/>
      </c>
      <c r="B861" s="12" t="n"/>
      <c r="C861" s="12" t="n"/>
      <c r="E861" s="12" t="n"/>
    </row>
    <row r="862">
      <c r="A862">
        <f>A861+1</f>
        <v/>
      </c>
      <c r="B862" s="12" t="n"/>
      <c r="C862" s="12" t="n"/>
      <c r="E862" s="12" t="n"/>
    </row>
    <row r="863">
      <c r="A863">
        <f>A862+1</f>
        <v/>
      </c>
      <c r="B863" s="12" t="n"/>
      <c r="C863" s="12" t="n"/>
      <c r="E863" s="12" t="n"/>
    </row>
    <row r="864">
      <c r="A864">
        <f>A863+1</f>
        <v/>
      </c>
      <c r="B864" s="12" t="n"/>
      <c r="C864" s="12" t="n"/>
      <c r="E864" s="12" t="n"/>
    </row>
    <row r="865">
      <c r="A865">
        <f>A864+1</f>
        <v/>
      </c>
      <c r="B865" s="12" t="n"/>
      <c r="C865" s="12" t="n"/>
      <c r="E865" s="12" t="n"/>
    </row>
    <row r="866">
      <c r="A866">
        <f>A865+1</f>
        <v/>
      </c>
      <c r="B866" s="12" t="n"/>
      <c r="C866" s="12" t="n"/>
      <c r="E866" s="12" t="n"/>
    </row>
    <row r="867">
      <c r="A867">
        <f>A866+1</f>
        <v/>
      </c>
      <c r="B867" s="12" t="n"/>
      <c r="C867" s="12" t="n"/>
      <c r="E867" s="12" t="n"/>
    </row>
    <row r="868">
      <c r="A868">
        <f>A867+1</f>
        <v/>
      </c>
      <c r="B868" s="12" t="n"/>
      <c r="C868" s="12" t="n"/>
      <c r="E868" s="12" t="n"/>
    </row>
    <row r="869">
      <c r="A869">
        <f>A868+1</f>
        <v/>
      </c>
      <c r="B869" s="12" t="n"/>
      <c r="C869" s="12" t="n"/>
      <c r="E869" s="12" t="n"/>
    </row>
    <row r="870">
      <c r="A870">
        <f>A869+1</f>
        <v/>
      </c>
      <c r="B870" s="12" t="n"/>
      <c r="C870" s="12" t="n"/>
      <c r="E870" s="12" t="n"/>
    </row>
    <row r="871">
      <c r="A871">
        <f>A870+1</f>
        <v/>
      </c>
      <c r="B871" s="12" t="n"/>
      <c r="C871" s="12" t="n"/>
      <c r="E871" s="12" t="n"/>
    </row>
    <row r="872">
      <c r="A872">
        <f>A871+1</f>
        <v/>
      </c>
      <c r="B872" s="12" t="n"/>
      <c r="C872" s="12" t="n"/>
      <c r="E872" s="12" t="n"/>
    </row>
    <row r="873">
      <c r="A873">
        <f>A872+1</f>
        <v/>
      </c>
      <c r="B873" s="12" t="n"/>
      <c r="C873" s="12" t="n"/>
      <c r="E873" s="12" t="n"/>
    </row>
    <row r="874">
      <c r="A874">
        <f>A873+1</f>
        <v/>
      </c>
      <c r="B874" s="12" t="n"/>
      <c r="C874" s="12" t="n"/>
      <c r="E874" s="12" t="n"/>
    </row>
    <row r="875">
      <c r="A875">
        <f>A874+1</f>
        <v/>
      </c>
      <c r="B875" s="12" t="n"/>
      <c r="C875" s="12" t="n"/>
      <c r="E875" s="12" t="n"/>
    </row>
    <row r="876">
      <c r="A876">
        <f>A875+1</f>
        <v/>
      </c>
      <c r="B876" s="12" t="n"/>
      <c r="C876" s="12" t="n"/>
      <c r="E876" s="12" t="n"/>
    </row>
    <row r="877">
      <c r="A877">
        <f>A876+1</f>
        <v/>
      </c>
      <c r="B877" s="12" t="n"/>
      <c r="C877" s="12" t="n"/>
      <c r="E877" s="12" t="n"/>
    </row>
    <row r="878">
      <c r="A878">
        <f>A877+1</f>
        <v/>
      </c>
      <c r="B878" s="12" t="n"/>
      <c r="C878" s="12" t="n"/>
      <c r="E878" s="12" t="n"/>
    </row>
    <row r="879">
      <c r="A879">
        <f>A878+1</f>
        <v/>
      </c>
      <c r="B879" s="12" t="n"/>
      <c r="C879" s="12" t="n"/>
      <c r="E879" s="12" t="n"/>
    </row>
    <row r="880">
      <c r="A880">
        <f>A879+1</f>
        <v/>
      </c>
      <c r="B880" s="12" t="n"/>
      <c r="C880" s="12" t="n"/>
      <c r="E880" s="12" t="n"/>
    </row>
    <row r="881">
      <c r="A881">
        <f>A880+1</f>
        <v/>
      </c>
      <c r="B881" s="12" t="n"/>
      <c r="C881" s="12" t="n"/>
      <c r="E881" s="12" t="n"/>
    </row>
    <row r="882">
      <c r="A882">
        <f>A881+1</f>
        <v/>
      </c>
      <c r="B882" s="12" t="n"/>
      <c r="C882" s="12" t="n"/>
      <c r="E882" s="12" t="n"/>
    </row>
    <row r="883">
      <c r="A883">
        <f>A882+1</f>
        <v/>
      </c>
      <c r="B883" s="12" t="n"/>
      <c r="C883" s="12" t="n"/>
      <c r="E883" s="12" t="n"/>
    </row>
    <row r="884">
      <c r="A884">
        <f>A883+1</f>
        <v/>
      </c>
      <c r="B884" s="12" t="n"/>
      <c r="C884" s="12" t="n"/>
      <c r="E884" s="12" t="n"/>
    </row>
    <row r="885">
      <c r="A885">
        <f>A884+1</f>
        <v/>
      </c>
      <c r="B885" s="12" t="n"/>
      <c r="C885" s="12" t="n"/>
      <c r="E885" s="12" t="n"/>
    </row>
    <row r="886">
      <c r="A886">
        <f>A885+1</f>
        <v/>
      </c>
      <c r="B886" s="12" t="n"/>
      <c r="C886" s="12" t="n"/>
      <c r="E886" s="12" t="n"/>
    </row>
    <row r="887">
      <c r="A887">
        <f>A886+1</f>
        <v/>
      </c>
      <c r="B887" s="12" t="n"/>
      <c r="C887" s="12" t="n"/>
      <c r="E887" s="12" t="n"/>
    </row>
    <row r="888">
      <c r="A888">
        <f>A887+1</f>
        <v/>
      </c>
      <c r="B888" s="12" t="n"/>
      <c r="C888" s="12" t="n"/>
      <c r="E888" s="12" t="n"/>
    </row>
    <row r="889">
      <c r="A889">
        <f>A888+1</f>
        <v/>
      </c>
      <c r="B889" s="12" t="n"/>
      <c r="C889" s="12" t="n"/>
      <c r="E889" s="12" t="n"/>
    </row>
    <row r="890">
      <c r="A890">
        <f>A889+1</f>
        <v/>
      </c>
      <c r="B890" s="12" t="n"/>
      <c r="C890" s="12" t="n"/>
      <c r="E890" s="12" t="n"/>
    </row>
    <row r="891">
      <c r="A891">
        <f>A890+1</f>
        <v/>
      </c>
      <c r="B891" s="12" t="n"/>
      <c r="C891" s="12" t="n"/>
      <c r="E891" s="12" t="n"/>
    </row>
    <row r="892">
      <c r="A892">
        <f>A891+1</f>
        <v/>
      </c>
      <c r="B892" s="12" t="n"/>
      <c r="C892" s="12" t="n"/>
      <c r="E892" s="12" t="n"/>
    </row>
    <row r="893">
      <c r="A893">
        <f>A892+1</f>
        <v/>
      </c>
      <c r="B893" s="12" t="n"/>
      <c r="C893" s="12" t="n"/>
      <c r="E893" s="12" t="n"/>
    </row>
    <row r="894">
      <c r="A894">
        <f>A893+1</f>
        <v/>
      </c>
      <c r="B894" s="12" t="n"/>
      <c r="C894" s="12" t="n"/>
      <c r="E894" s="12" t="n"/>
    </row>
    <row r="895">
      <c r="A895">
        <f>A894+1</f>
        <v/>
      </c>
      <c r="B895" s="12" t="n"/>
      <c r="C895" s="12" t="n"/>
      <c r="E895" s="12" t="n"/>
    </row>
    <row r="896">
      <c r="A896">
        <f>A895+1</f>
        <v/>
      </c>
      <c r="B896" s="12" t="n"/>
      <c r="C896" s="12" t="n"/>
      <c r="E896" s="12" t="n"/>
    </row>
    <row r="897">
      <c r="A897">
        <f>A896+1</f>
        <v/>
      </c>
      <c r="B897" s="12" t="n"/>
      <c r="C897" s="12" t="n"/>
      <c r="E897" s="12" t="n"/>
    </row>
    <row r="898">
      <c r="A898">
        <f>A897+1</f>
        <v/>
      </c>
      <c r="B898" s="12" t="n"/>
      <c r="C898" s="12" t="n"/>
      <c r="E898" s="12" t="n"/>
    </row>
    <row r="899">
      <c r="A899">
        <f>A898+1</f>
        <v/>
      </c>
      <c r="B899" s="12" t="n"/>
      <c r="C899" s="12" t="n"/>
      <c r="E899" s="12" t="n"/>
    </row>
    <row r="900">
      <c r="A900">
        <f>A899+1</f>
        <v/>
      </c>
      <c r="B900" s="12" t="n"/>
      <c r="C900" s="12" t="n"/>
      <c r="E900" s="12" t="n"/>
    </row>
    <row r="901">
      <c r="A901">
        <f>A900+1</f>
        <v/>
      </c>
      <c r="B901" s="12" t="n"/>
      <c r="C901" s="12" t="n"/>
      <c r="E901" s="12" t="n"/>
    </row>
    <row r="902">
      <c r="A902">
        <f>A901+1</f>
        <v/>
      </c>
      <c r="B902" s="12" t="n"/>
      <c r="C902" s="12" t="n"/>
      <c r="E902" s="12" t="n"/>
    </row>
    <row r="903">
      <c r="A903">
        <f>A902+1</f>
        <v/>
      </c>
      <c r="B903" s="12" t="n"/>
      <c r="C903" s="12" t="n"/>
      <c r="E903" s="12" t="n"/>
    </row>
    <row r="904">
      <c r="A904">
        <f>A903+1</f>
        <v/>
      </c>
      <c r="B904" s="12" t="n"/>
      <c r="C904" s="12" t="n"/>
      <c r="E904" s="12" t="n"/>
    </row>
    <row r="905">
      <c r="A905">
        <f>A904+1</f>
        <v/>
      </c>
      <c r="B905" s="12" t="n"/>
      <c r="C905" s="12" t="n"/>
      <c r="E905" s="12" t="n"/>
    </row>
    <row r="906">
      <c r="A906">
        <f>A905+1</f>
        <v/>
      </c>
      <c r="B906" s="12" t="n"/>
      <c r="C906" s="12" t="n"/>
      <c r="E906" s="12" t="n"/>
    </row>
    <row r="907">
      <c r="A907">
        <f>A906+1</f>
        <v/>
      </c>
      <c r="B907" s="12" t="n"/>
      <c r="C907" s="12" t="n"/>
      <c r="E907" s="12" t="n"/>
    </row>
    <row r="908">
      <c r="A908">
        <f>A907+1</f>
        <v/>
      </c>
      <c r="B908" s="12" t="n"/>
      <c r="C908" s="12" t="n"/>
      <c r="E908" s="12" t="n"/>
    </row>
    <row r="909">
      <c r="A909">
        <f>A908+1</f>
        <v/>
      </c>
      <c r="B909" s="12" t="n"/>
      <c r="C909" s="12" t="n"/>
      <c r="E909" s="12" t="n"/>
    </row>
    <row r="910">
      <c r="A910">
        <f>A909+1</f>
        <v/>
      </c>
      <c r="B910" s="12" t="n"/>
      <c r="C910" s="12" t="n"/>
      <c r="E910" s="12" t="n"/>
    </row>
    <row r="911">
      <c r="A911">
        <f>A910+1</f>
        <v/>
      </c>
      <c r="B911" s="12" t="n"/>
      <c r="C911" s="12" t="n"/>
      <c r="E911" s="12" t="n"/>
    </row>
    <row r="912">
      <c r="A912">
        <f>A911+1</f>
        <v/>
      </c>
      <c r="B912" s="12" t="n"/>
      <c r="C912" s="12" t="n"/>
      <c r="E912" s="12" t="n"/>
    </row>
    <row r="913">
      <c r="A913">
        <f>A912+1</f>
        <v/>
      </c>
      <c r="B913" s="12" t="n"/>
      <c r="C913" s="12" t="n"/>
      <c r="E913" s="12" t="n"/>
    </row>
    <row r="914">
      <c r="A914">
        <f>A913+1</f>
        <v/>
      </c>
      <c r="B914" s="12" t="n"/>
      <c r="C914" s="12" t="n"/>
      <c r="E914" s="12" t="n"/>
    </row>
    <row r="915">
      <c r="A915">
        <f>A914+1</f>
        <v/>
      </c>
      <c r="B915" s="12" t="n"/>
      <c r="C915" s="12" t="n"/>
      <c r="E915" s="12" t="n"/>
    </row>
    <row r="916">
      <c r="A916">
        <f>A915+1</f>
        <v/>
      </c>
      <c r="B916" s="12" t="n"/>
      <c r="C916" s="12" t="n"/>
      <c r="E916" s="12" t="n"/>
    </row>
    <row r="917">
      <c r="A917">
        <f>A916+1</f>
        <v/>
      </c>
      <c r="B917" s="12" t="n"/>
      <c r="C917" s="12" t="n"/>
      <c r="E917" s="12" t="n"/>
    </row>
    <row r="918">
      <c r="A918">
        <f>A917+1</f>
        <v/>
      </c>
      <c r="B918" s="12" t="n"/>
      <c r="C918" s="12" t="n"/>
      <c r="E918" s="12" t="n"/>
    </row>
    <row r="919">
      <c r="A919">
        <f>A918+1</f>
        <v/>
      </c>
      <c r="B919" s="12" t="n"/>
      <c r="C919" s="12" t="n"/>
      <c r="E919" s="12" t="n"/>
    </row>
    <row r="920">
      <c r="A920">
        <f>A919+1</f>
        <v/>
      </c>
      <c r="B920" s="12" t="n"/>
      <c r="C920" s="12" t="n"/>
      <c r="E920" s="12" t="n"/>
    </row>
    <row r="921">
      <c r="A921">
        <f>A920+1</f>
        <v/>
      </c>
      <c r="B921" s="12" t="n"/>
      <c r="C921" s="12" t="n"/>
      <c r="E921" s="12" t="n"/>
    </row>
    <row r="922">
      <c r="A922">
        <f>A921+1</f>
        <v/>
      </c>
      <c r="B922" s="12" t="n"/>
      <c r="C922" s="12" t="n"/>
      <c r="E922" s="12" t="n"/>
    </row>
    <row r="923">
      <c r="A923">
        <f>A922+1</f>
        <v/>
      </c>
      <c r="B923" s="12" t="n"/>
      <c r="C923" s="12" t="n"/>
      <c r="E923" s="12" t="n"/>
    </row>
    <row r="924">
      <c r="A924">
        <f>A923+1</f>
        <v/>
      </c>
      <c r="B924" s="12" t="n"/>
      <c r="C924" s="12" t="n"/>
      <c r="E924" s="12" t="n"/>
    </row>
    <row r="925">
      <c r="A925">
        <f>A924+1</f>
        <v/>
      </c>
      <c r="B925" s="12" t="n"/>
      <c r="C925" s="12" t="n"/>
      <c r="E925" s="12" t="n"/>
    </row>
    <row r="926">
      <c r="A926">
        <f>A925+1</f>
        <v/>
      </c>
      <c r="B926" s="12" t="n"/>
      <c r="C926" s="12" t="n"/>
      <c r="E926" s="12" t="n"/>
    </row>
    <row r="927">
      <c r="A927">
        <f>A926+1</f>
        <v/>
      </c>
      <c r="B927" s="12" t="n"/>
      <c r="C927" s="12" t="n"/>
      <c r="E927" s="12" t="n"/>
    </row>
    <row r="928">
      <c r="A928">
        <f>A927+1</f>
        <v/>
      </c>
      <c r="B928" s="12" t="n"/>
      <c r="C928" s="12" t="n"/>
      <c r="E928" s="12" t="n"/>
    </row>
    <row r="929">
      <c r="A929">
        <f>A928+1</f>
        <v/>
      </c>
      <c r="B929" s="12" t="n"/>
      <c r="C929" s="12" t="n"/>
      <c r="E929" s="12" t="n"/>
    </row>
    <row r="930">
      <c r="A930">
        <f>A929+1</f>
        <v/>
      </c>
      <c r="B930" s="12" t="n"/>
      <c r="C930" s="12" t="n"/>
      <c r="E930" s="12" t="n"/>
    </row>
    <row r="931">
      <c r="A931">
        <f>A930+1</f>
        <v/>
      </c>
      <c r="B931" s="12" t="n"/>
      <c r="C931" s="12" t="n"/>
      <c r="E931" s="12" t="n"/>
    </row>
    <row r="932">
      <c r="A932">
        <f>A931+1</f>
        <v/>
      </c>
      <c r="B932" s="12" t="n"/>
      <c r="C932" s="12" t="n"/>
      <c r="E932" s="12" t="n"/>
    </row>
    <row r="933">
      <c r="A933">
        <f>A932+1</f>
        <v/>
      </c>
      <c r="B933" s="12" t="n"/>
      <c r="C933" s="12" t="n"/>
      <c r="E933" s="12" t="n"/>
    </row>
    <row r="934">
      <c r="A934">
        <f>A933+1</f>
        <v/>
      </c>
      <c r="B934" s="12" t="n"/>
      <c r="C934" s="12" t="n"/>
      <c r="E934" s="12" t="n"/>
    </row>
    <row r="935">
      <c r="A935">
        <f>A934+1</f>
        <v/>
      </c>
      <c r="B935" s="12" t="n"/>
      <c r="C935" s="12" t="n"/>
      <c r="E935" s="12" t="n"/>
    </row>
    <row r="936">
      <c r="A936">
        <f>A935+1</f>
        <v/>
      </c>
      <c r="B936" s="12" t="n"/>
      <c r="C936" s="12" t="n"/>
      <c r="E936" s="12" t="n"/>
    </row>
    <row r="937">
      <c r="A937">
        <f>A936+1</f>
        <v/>
      </c>
      <c r="B937" s="12" t="n"/>
      <c r="C937" s="12" t="n"/>
      <c r="E937" s="12" t="n"/>
    </row>
    <row r="938">
      <c r="A938">
        <f>A937+1</f>
        <v/>
      </c>
      <c r="B938" s="12" t="n"/>
      <c r="C938" s="12" t="n"/>
      <c r="E938" s="12" t="n"/>
    </row>
    <row r="939">
      <c r="A939">
        <f>A938+1</f>
        <v/>
      </c>
      <c r="B939" s="12" t="n"/>
      <c r="C939" s="12" t="n"/>
      <c r="E939" s="12" t="n"/>
    </row>
    <row r="940">
      <c r="A940">
        <f>A939+1</f>
        <v/>
      </c>
      <c r="B940" s="12" t="n"/>
      <c r="C940" s="12" t="n"/>
      <c r="E940" s="12" t="n"/>
    </row>
    <row r="941">
      <c r="A941">
        <f>A940+1</f>
        <v/>
      </c>
      <c r="B941" s="12" t="n"/>
      <c r="C941" s="12" t="n"/>
      <c r="E941" s="12" t="n"/>
    </row>
    <row r="942">
      <c r="A942">
        <f>A941+1</f>
        <v/>
      </c>
      <c r="B942" s="12" t="n"/>
      <c r="C942" s="12" t="n"/>
      <c r="E942" s="12" t="n"/>
    </row>
    <row r="943">
      <c r="A943">
        <f>A942+1</f>
        <v/>
      </c>
      <c r="B943" s="12" t="n"/>
      <c r="C943" s="12" t="n"/>
      <c r="E943" s="12" t="n"/>
    </row>
    <row r="944">
      <c r="A944">
        <f>A943+1</f>
        <v/>
      </c>
      <c r="B944" s="12" t="n"/>
      <c r="C944" s="12" t="n"/>
      <c r="E944" s="12" t="n"/>
    </row>
    <row r="945">
      <c r="A945">
        <f>A944+1</f>
        <v/>
      </c>
      <c r="B945" s="12" t="n"/>
      <c r="C945" s="12" t="n"/>
      <c r="E945" s="12" t="n"/>
    </row>
    <row r="946">
      <c r="A946">
        <f>A945+1</f>
        <v/>
      </c>
      <c r="B946" s="12" t="n"/>
      <c r="C946" s="12" t="n"/>
      <c r="E946" s="12" t="n"/>
    </row>
    <row r="947">
      <c r="A947">
        <f>A946+1</f>
        <v/>
      </c>
      <c r="B947" s="12" t="n"/>
      <c r="C947" s="12" t="n"/>
      <c r="E947" s="12" t="n"/>
    </row>
    <row r="948">
      <c r="A948">
        <f>A947+1</f>
        <v/>
      </c>
      <c r="B948" s="12" t="n"/>
      <c r="C948" s="12" t="n"/>
      <c r="E948" s="12" t="n"/>
    </row>
    <row r="949">
      <c r="A949">
        <f>A948+1</f>
        <v/>
      </c>
      <c r="B949" s="12" t="n"/>
      <c r="C949" s="12" t="n"/>
      <c r="E949" s="12" t="n"/>
    </row>
    <row r="950">
      <c r="A950">
        <f>A949+1</f>
        <v/>
      </c>
      <c r="B950" s="12" t="n"/>
      <c r="C950" s="12" t="n"/>
      <c r="E950" s="12" t="n"/>
    </row>
    <row r="951">
      <c r="A951">
        <f>A950+1</f>
        <v/>
      </c>
      <c r="B951" s="12" t="n"/>
      <c r="C951" s="12" t="n"/>
      <c r="E951" s="12" t="n"/>
    </row>
    <row r="952">
      <c r="A952">
        <f>A951+1</f>
        <v/>
      </c>
      <c r="B952" s="12" t="n"/>
      <c r="C952" s="12" t="n"/>
      <c r="E952" s="12" t="n"/>
    </row>
    <row r="953">
      <c r="A953">
        <f>A952+1</f>
        <v/>
      </c>
      <c r="B953" s="12" t="n"/>
      <c r="C953" s="12" t="n"/>
      <c r="E953" s="12" t="n"/>
    </row>
    <row r="954">
      <c r="A954">
        <f>A953+1</f>
        <v/>
      </c>
      <c r="B954" s="12" t="n"/>
      <c r="C954" s="12" t="n"/>
      <c r="E954" s="12" t="n"/>
    </row>
    <row r="955">
      <c r="A955">
        <f>A954+1</f>
        <v/>
      </c>
      <c r="B955" s="12" t="n"/>
      <c r="C955" s="12" t="n"/>
      <c r="E955" s="12" t="n"/>
    </row>
    <row r="956">
      <c r="A956">
        <f>A955+1</f>
        <v/>
      </c>
      <c r="B956" s="12" t="n"/>
      <c r="C956" s="12" t="n"/>
      <c r="E956" s="12" t="n"/>
    </row>
    <row r="957">
      <c r="A957">
        <f>A956+1</f>
        <v/>
      </c>
      <c r="B957" s="12" t="n"/>
      <c r="C957" s="12" t="n"/>
      <c r="E957" s="12" t="n"/>
    </row>
    <row r="958">
      <c r="A958">
        <f>A957+1</f>
        <v/>
      </c>
      <c r="B958" s="12" t="n"/>
      <c r="C958" s="12" t="n"/>
      <c r="E958" s="12" t="n"/>
    </row>
    <row r="959">
      <c r="A959">
        <f>A958+1</f>
        <v/>
      </c>
      <c r="B959" s="12" t="n"/>
      <c r="C959" s="12" t="n"/>
      <c r="E959" s="12" t="n"/>
    </row>
    <row r="960">
      <c r="A960">
        <f>A959+1</f>
        <v/>
      </c>
      <c r="B960" s="12" t="n"/>
      <c r="C960" s="12" t="n"/>
      <c r="E960" s="12" t="n"/>
    </row>
    <row r="961">
      <c r="A961">
        <f>A960+1</f>
        <v/>
      </c>
      <c r="B961" s="12" t="n"/>
      <c r="C961" s="12" t="n"/>
      <c r="E961" s="12" t="n"/>
    </row>
    <row r="962">
      <c r="A962">
        <f>A961+1</f>
        <v/>
      </c>
      <c r="B962" s="12" t="n"/>
      <c r="C962" s="12" t="n"/>
      <c r="E962" s="12" t="n"/>
    </row>
    <row r="963">
      <c r="A963">
        <f>A962+1</f>
        <v/>
      </c>
      <c r="B963" s="12" t="n"/>
      <c r="C963" s="12" t="n"/>
      <c r="E963" s="12" t="n"/>
    </row>
    <row r="964">
      <c r="A964">
        <f>A963+1</f>
        <v/>
      </c>
      <c r="B964" s="12" t="n"/>
      <c r="C964" s="12" t="n"/>
      <c r="E964" s="12" t="n"/>
    </row>
    <row r="965">
      <c r="A965">
        <f>A964+1</f>
        <v/>
      </c>
      <c r="B965" s="12" t="n"/>
      <c r="C965" s="12" t="n"/>
      <c r="E965" s="12" t="n"/>
    </row>
    <row r="966">
      <c r="A966">
        <f>A965+1</f>
        <v/>
      </c>
      <c r="B966" s="12" t="n"/>
      <c r="C966" s="12" t="n"/>
      <c r="E966" s="12" t="n"/>
    </row>
    <row r="967">
      <c r="A967">
        <f>A966+1</f>
        <v/>
      </c>
      <c r="B967" s="12" t="n"/>
      <c r="C967" s="12" t="n"/>
      <c r="E967" s="12" t="n"/>
    </row>
    <row r="968">
      <c r="A968">
        <f>A967+1</f>
        <v/>
      </c>
      <c r="B968" s="12" t="n"/>
      <c r="C968" s="12" t="n"/>
      <c r="E968" s="12" t="n"/>
    </row>
    <row r="969">
      <c r="A969">
        <f>A968+1</f>
        <v/>
      </c>
      <c r="B969" s="12" t="n"/>
      <c r="C969" s="12" t="n"/>
      <c r="E969" s="12" t="n"/>
    </row>
    <row r="970">
      <c r="A970">
        <f>A969+1</f>
        <v/>
      </c>
      <c r="B970" s="12" t="n"/>
      <c r="C970" s="12" t="n"/>
      <c r="E970" s="12" t="n"/>
    </row>
    <row r="971">
      <c r="A971">
        <f>A970+1</f>
        <v/>
      </c>
      <c r="B971" s="12" t="n"/>
      <c r="C971" s="12" t="n"/>
      <c r="E971" s="12" t="n"/>
    </row>
    <row r="972">
      <c r="A972">
        <f>A971+1</f>
        <v/>
      </c>
      <c r="B972" s="12" t="n"/>
      <c r="C972" s="12" t="n"/>
      <c r="E972" s="12" t="n"/>
    </row>
    <row r="973">
      <c r="A973">
        <f>A972+1</f>
        <v/>
      </c>
      <c r="B973" s="12" t="n"/>
      <c r="C973" s="12" t="n"/>
      <c r="E973" s="12" t="n"/>
    </row>
    <row r="974">
      <c r="A974">
        <f>A973+1</f>
        <v/>
      </c>
      <c r="B974" s="12" t="n"/>
      <c r="C974" s="12" t="n"/>
      <c r="E974" s="12" t="n"/>
    </row>
    <row r="975">
      <c r="A975">
        <f>A974+1</f>
        <v/>
      </c>
      <c r="B975" s="12" t="n"/>
      <c r="C975" s="12" t="n"/>
      <c r="E975" s="12" t="n"/>
    </row>
    <row r="976">
      <c r="A976">
        <f>A975+1</f>
        <v/>
      </c>
      <c r="B976" s="12" t="n"/>
      <c r="C976" s="12" t="n"/>
      <c r="E976" s="12" t="n"/>
    </row>
    <row r="977">
      <c r="A977">
        <f>A976+1</f>
        <v/>
      </c>
      <c r="B977" s="12" t="n"/>
      <c r="C977" s="12" t="n"/>
      <c r="E977" s="12" t="n"/>
    </row>
    <row r="978">
      <c r="A978">
        <f>A977+1</f>
        <v/>
      </c>
      <c r="B978" s="12" t="n"/>
      <c r="C978" s="12" t="n"/>
      <c r="E978" s="12" t="n"/>
    </row>
    <row r="979">
      <c r="A979">
        <f>A978+1</f>
        <v/>
      </c>
      <c r="B979" s="12" t="n"/>
      <c r="C979" s="12" t="n"/>
      <c r="E979" s="12" t="n"/>
    </row>
    <row r="980">
      <c r="A980">
        <f>A979+1</f>
        <v/>
      </c>
      <c r="B980" s="12" t="n"/>
      <c r="C980" s="12" t="n"/>
      <c r="E980" s="12" t="n"/>
    </row>
    <row r="981">
      <c r="A981">
        <f>A980+1</f>
        <v/>
      </c>
      <c r="B981" s="12" t="n"/>
      <c r="C981" s="12" t="n"/>
      <c r="E981" s="12" t="n"/>
    </row>
    <row r="982">
      <c r="A982">
        <f>A981+1</f>
        <v/>
      </c>
      <c r="B982" s="12" t="n"/>
      <c r="C982" s="12" t="n"/>
      <c r="E982" s="12" t="n"/>
    </row>
    <row r="983">
      <c r="A983">
        <f>A982+1</f>
        <v/>
      </c>
      <c r="B983" s="12" t="n"/>
      <c r="C983" s="12" t="n"/>
      <c r="E983" s="12" t="n"/>
    </row>
    <row r="984">
      <c r="A984">
        <f>A983+1</f>
        <v/>
      </c>
      <c r="B984" s="12" t="n"/>
      <c r="C984" s="12" t="n"/>
      <c r="E984" s="12" t="n"/>
    </row>
    <row r="985">
      <c r="A985">
        <f>A984+1</f>
        <v/>
      </c>
      <c r="B985" s="12" t="n"/>
      <c r="C985" s="12" t="n"/>
      <c r="E985" s="12" t="n"/>
    </row>
    <row r="986">
      <c r="A986">
        <f>A985+1</f>
        <v/>
      </c>
      <c r="B986" s="12" t="n"/>
      <c r="C986" s="12" t="n"/>
      <c r="E986" s="12" t="n"/>
    </row>
    <row r="987">
      <c r="A987">
        <f>A986+1</f>
        <v/>
      </c>
      <c r="B987" s="12" t="n"/>
      <c r="C987" s="12" t="n"/>
      <c r="E987" s="12" t="n"/>
    </row>
    <row r="988">
      <c r="A988">
        <f>A987+1</f>
        <v/>
      </c>
      <c r="B988" s="12" t="n"/>
      <c r="C988" s="12" t="n"/>
      <c r="E988" s="12" t="n"/>
    </row>
    <row r="989">
      <c r="A989">
        <f>A988+1</f>
        <v/>
      </c>
      <c r="B989" s="12" t="n"/>
      <c r="C989" s="12" t="n"/>
      <c r="E989" s="12" t="n"/>
    </row>
    <row r="990">
      <c r="A990">
        <f>A989+1</f>
        <v/>
      </c>
      <c r="B990" s="12" t="n"/>
      <c r="C990" s="12" t="n"/>
      <c r="E990" s="12" t="n"/>
    </row>
    <row r="991">
      <c r="A991">
        <f>A990+1</f>
        <v/>
      </c>
      <c r="B991" s="12" t="n"/>
      <c r="C991" s="12" t="n"/>
      <c r="E991" s="12" t="n"/>
    </row>
    <row r="992">
      <c r="A992">
        <f>A991+1</f>
        <v/>
      </c>
      <c r="B992" s="12" t="n"/>
      <c r="C992" s="12" t="n"/>
      <c r="E992" s="12" t="n"/>
    </row>
    <row r="993">
      <c r="A993">
        <f>A992+1</f>
        <v/>
      </c>
      <c r="B993" s="12" t="n"/>
      <c r="C993" s="12" t="n"/>
      <c r="E993" s="12" t="n"/>
    </row>
    <row r="994">
      <c r="A994">
        <f>A993+1</f>
        <v/>
      </c>
      <c r="B994" s="12" t="n"/>
      <c r="C994" s="12" t="n"/>
      <c r="E994" s="12" t="n"/>
    </row>
    <row r="995">
      <c r="A995">
        <f>A994+1</f>
        <v/>
      </c>
      <c r="B995" s="12" t="n"/>
      <c r="C995" s="12" t="n"/>
      <c r="E995" s="12" t="n"/>
    </row>
    <row r="996">
      <c r="A996">
        <f>A995+1</f>
        <v/>
      </c>
      <c r="B996" s="12" t="n"/>
      <c r="C996" s="12" t="n"/>
      <c r="E996" s="12" t="n"/>
    </row>
    <row r="997">
      <c r="A997">
        <f>A996+1</f>
        <v/>
      </c>
      <c r="B997" s="12" t="n"/>
      <c r="C997" s="12" t="n"/>
      <c r="E997" s="12" t="n"/>
    </row>
    <row r="998">
      <c r="A998">
        <f>A997+1</f>
        <v/>
      </c>
      <c r="B998" s="12" t="n"/>
      <c r="C998" s="12" t="n"/>
      <c r="E998" s="12" t="n"/>
    </row>
    <row r="999">
      <c r="A999">
        <f>A998+1</f>
        <v/>
      </c>
      <c r="B999" s="12" t="n"/>
      <c r="C999" s="12" t="n"/>
      <c r="E999" s="12" t="n"/>
    </row>
    <row r="1000">
      <c r="A1000">
        <f>A999+1</f>
        <v/>
      </c>
      <c r="B1000" s="12" t="n"/>
      <c r="C1000" s="12" t="n"/>
      <c r="E1000" s="12" t="n"/>
    </row>
    <row r="1001">
      <c r="A1001">
        <f>A1000+1</f>
        <v/>
      </c>
      <c r="B1001" s="12" t="n"/>
      <c r="C1001" s="12" t="n"/>
      <c r="E1001" s="12" t="n"/>
    </row>
    <row r="1002">
      <c r="A1002">
        <f>A1001+1</f>
        <v/>
      </c>
      <c r="B1002" s="12" t="n"/>
      <c r="C1002" s="12" t="n"/>
      <c r="E1002" s="12" t="n"/>
    </row>
    <row r="1003">
      <c r="A1003">
        <f>A1002+1</f>
        <v/>
      </c>
      <c r="B1003" s="12" t="n"/>
      <c r="C1003" s="12" t="n"/>
      <c r="E1003" s="12" t="n"/>
    </row>
    <row r="1004">
      <c r="A1004">
        <f>A1003+1</f>
        <v/>
      </c>
      <c r="B1004" s="12" t="n"/>
      <c r="C1004" s="12" t="n"/>
      <c r="E1004" s="12" t="n"/>
    </row>
    <row r="1005">
      <c r="A1005">
        <f>A1004+1</f>
        <v/>
      </c>
      <c r="B1005" s="12" t="n"/>
      <c r="C1005" s="12" t="n"/>
      <c r="E1005" s="12" t="n"/>
    </row>
    <row r="1006">
      <c r="A1006">
        <f>A1005+1</f>
        <v/>
      </c>
      <c r="B1006" s="12" t="n"/>
      <c r="C1006" s="12" t="n"/>
      <c r="E1006" s="12" t="n"/>
    </row>
    <row r="1007">
      <c r="A1007">
        <f>A1006+1</f>
        <v/>
      </c>
      <c r="B1007" s="12" t="n"/>
      <c r="C1007" s="12" t="n"/>
      <c r="E1007" s="12" t="n"/>
    </row>
    <row r="1008">
      <c r="A1008">
        <f>A1007+1</f>
        <v/>
      </c>
      <c r="B1008" s="12" t="n"/>
      <c r="C1008" s="12" t="n"/>
      <c r="E1008" s="12" t="n"/>
    </row>
    <row r="1009">
      <c r="A1009">
        <f>A1008+1</f>
        <v/>
      </c>
      <c r="B1009" s="12" t="n"/>
      <c r="C1009" s="12" t="n"/>
      <c r="E1009" s="12" t="n"/>
    </row>
  </sheetData>
  <mergeCells count="2">
    <mergeCell ref="A8:H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  <col width="16" customWidth="1" min="9" max="9"/>
  </cols>
  <sheetData>
    <row r="1" ht="22" customHeight="1">
      <c r="A1" s="1" t="inlineStr">
        <is>
          <t>DISEÑO: BERNOULLI</t>
        </is>
      </c>
    </row>
    <row r="3">
      <c r="A3" s="14" t="inlineStr">
        <is>
          <t>1. PARÁMETROS</t>
        </is>
      </c>
    </row>
    <row r="4">
      <c r="A4" s="2" t="inlineStr">
        <is>
          <t>N — tamaño de la población</t>
        </is>
      </c>
      <c r="B4" s="7">
        <f>IF(Datos!B2="","",Datos!B2)</f>
        <v/>
      </c>
    </row>
    <row r="5">
      <c r="A5" s="2" t="inlineStr">
        <is>
          <t>n — tamaño de la muestra</t>
        </is>
      </c>
      <c r="B5" s="7">
        <f>IF(Datos!B3="",Datos!F3,Datos!B3)</f>
        <v/>
      </c>
      <c r="C5" s="6" t="inlineStr">
        <is>
          <t>si B3 está vacía usa el nº de datos</t>
        </is>
      </c>
    </row>
    <row r="6">
      <c r="A6" s="2" t="inlineStr">
        <is>
          <t>1-α — nivel de confianza</t>
        </is>
      </c>
      <c r="B6" s="15" t="n">
        <v>0.95</v>
      </c>
    </row>
    <row r="7">
      <c r="A7" s="2" t="inlineStr">
        <is>
          <t>z = z(α/2)</t>
        </is>
      </c>
      <c r="B7" s="7">
        <f>_xlfn.NORM.S.INV((1-B6)/2)</f>
        <v/>
      </c>
    </row>
    <row r="8">
      <c r="A8" s="2" t="inlineStr">
        <is>
          <t>S² usada (poblacional si se conoce, si no muestral)</t>
        </is>
      </c>
      <c r="B8" s="7">
        <f>IF(Datos!B5&lt;&gt;"",Datos!B5,IF(Datos!F7="","",Datos!F7))</f>
        <v/>
      </c>
    </row>
    <row r="9">
      <c r="A9" s="2" t="inlineStr">
        <is>
          <t>P usada (poblacional si se conoce, si no p̂)</t>
        </is>
      </c>
      <c r="B9" s="7">
        <f>IF(Datos!B6&lt;&gt;"",Datos!B6,IF(Datos!F11="","",Datos!F11))</f>
        <v/>
      </c>
    </row>
    <row r="10">
      <c r="A10" s="2" t="inlineStr">
        <is>
          <t>ȳ — media muestral</t>
        </is>
      </c>
      <c r="B10" s="7">
        <f>IF(Datos!F6="","",Datos!F6)</f>
        <v/>
      </c>
    </row>
    <row r="11">
      <c r="A11" s="2" t="inlineStr">
        <is>
          <t>s² — varianza muestral</t>
        </is>
      </c>
      <c r="B11" s="7">
        <f>IF(Datos!F7="","",Datos!F7)</f>
        <v/>
      </c>
    </row>
    <row r="12">
      <c r="A12" s="2" t="inlineStr">
        <is>
          <t>σ̂² = (n-1)/n · s²</t>
        </is>
      </c>
      <c r="B12" s="7">
        <f>IF(Datos!F8="","",Datos!F8)</f>
        <v/>
      </c>
    </row>
    <row r="13">
      <c r="A13" s="2" t="inlineStr">
        <is>
          <t>Σ yᵢ (muestra)</t>
        </is>
      </c>
      <c r="B13" s="7">
        <f>IF(Datos!F4="","",Datos!F4)</f>
        <v/>
      </c>
    </row>
    <row r="14">
      <c r="A14" s="2" t="inlineStr">
        <is>
          <t>Σ yᵢ² (muestra)</t>
        </is>
      </c>
      <c r="B14" s="7">
        <f>IF(Datos!F5="","",Datos!F5)</f>
        <v/>
      </c>
    </row>
    <row r="15">
      <c r="A15" s="2" t="inlineStr">
        <is>
          <t>a — nº de éxitos (Σ zᵢ)</t>
        </is>
      </c>
      <c r="B15" s="7">
        <f>IF(Datos!F9="","",Datos!F9)</f>
        <v/>
      </c>
    </row>
    <row r="16">
      <c r="A16" s="2" t="inlineStr">
        <is>
          <t>p̂ — proporción muestral</t>
        </is>
      </c>
      <c r="B16" s="7">
        <f>IF(Datos!F11="","",Datos!F11)</f>
        <v/>
      </c>
    </row>
    <row r="17">
      <c r="A17" s="2" t="inlineStr">
        <is>
          <t>p — probabilidad de inclusión</t>
        </is>
      </c>
      <c r="B17" s="7">
        <f>IF(OR(B4="",B5=""),"",B5/B4)</f>
        <v/>
      </c>
      <c r="C17" s="6" t="inlineStr">
        <is>
          <t>puede sobrescribir el valor calculado con otro p</t>
        </is>
      </c>
    </row>
    <row r="20">
      <c r="A20" s="14" t="inlineStr">
        <is>
          <t>2. ESTIMADORES Y VARIANZAS</t>
        </is>
      </c>
    </row>
    <row r="21">
      <c r="A21" s="16" t="inlineStr">
        <is>
          <t>Estimador</t>
        </is>
      </c>
      <c r="B21" s="16" t="inlineStr">
        <is>
          <t>Valor</t>
        </is>
      </c>
      <c r="C21" s="16" t="inlineStr">
        <is>
          <t>Varianza teórica</t>
        </is>
      </c>
      <c r="D21" s="16" t="inlineStr">
        <is>
          <t>Varianza estimada</t>
        </is>
      </c>
      <c r="E21" s="16" t="inlineStr">
        <is>
          <t>EE = √V̂</t>
        </is>
      </c>
      <c r="F21" s="16" t="inlineStr">
        <is>
          <t>IC inferior</t>
        </is>
      </c>
      <c r="G21" s="16" t="inlineStr">
        <is>
          <t>IC superior</t>
        </is>
      </c>
    </row>
    <row r="22">
      <c r="A22" s="17" t="inlineStr">
        <is>
          <t>Media</t>
        </is>
      </c>
      <c r="B22" s="7">
        <f>IF(OR(B17="",B4=""),"",B13/(B4*B17))</f>
        <v/>
      </c>
      <c r="C22" s="7">
        <f>IFERROR((1-B17)/(B17*B4^2)*((B4-1)*B8+B4*B10^2),"")</f>
        <v/>
      </c>
      <c r="D22" s="7">
        <f>IFERROR((1-B17)/(B17*B4^2)*B14,"")</f>
        <v/>
      </c>
      <c r="E22" s="7">
        <f>IF(D22="","",SQRT(D22))</f>
        <v/>
      </c>
      <c r="F22" s="7">
        <f>IF(OR(B22="",E22=""),"",B22-$B$7*E22)</f>
        <v/>
      </c>
      <c r="G22" s="7">
        <f>IF(OR(B22="",E22=""),"",B22+$B$7*E22)</f>
        <v/>
      </c>
    </row>
    <row r="23">
      <c r="A23" s="17" t="inlineStr">
        <is>
          <t>Total</t>
        </is>
      </c>
      <c r="B23" s="7">
        <f>IF(B17="","",B13/B17)</f>
        <v/>
      </c>
      <c r="C23" s="7">
        <f>IFERROR((1-B17)/B17*((B4-1)*B8+B4*B10^2),"")</f>
        <v/>
      </c>
      <c r="D23" s="7">
        <f>IFERROR((1-B17)/B17*B14,"")</f>
        <v/>
      </c>
      <c r="E23" s="7">
        <f>IF(D23="","",SQRT(D23))</f>
        <v/>
      </c>
      <c r="F23" s="7">
        <f>IF(OR(B23="",E23=""),"",B23-$B$7*E23)</f>
        <v/>
      </c>
      <c r="G23" s="7">
        <f>IF(OR(B23="",E23=""),"",B23+$B$7*E23)</f>
        <v/>
      </c>
    </row>
    <row r="24">
      <c r="A24" s="17" t="inlineStr">
        <is>
          <t>Proporción</t>
        </is>
      </c>
      <c r="B24" s="7">
        <f>IF(OR(B17="",B4=""),"",B15/(B4*B17))</f>
        <v/>
      </c>
      <c r="C24" s="7">
        <f>IFERROR((1-B17)*B9/(B17*B4),"")</f>
        <v/>
      </c>
      <c r="D24" s="7">
        <f>IFERROR((1-B17)*B15/(B17*B4^2),"")</f>
        <v/>
      </c>
      <c r="E24" s="7">
        <f>IF(D24="","",SQRT(D24))</f>
        <v/>
      </c>
      <c r="F24" s="7">
        <f>IF(OR(B24="",E24=""),"",B24-$B$7*E24)</f>
        <v/>
      </c>
      <c r="G24" s="7">
        <f>IF(OR(B24="",E24=""),"",B24+$B$7*E24)</f>
        <v/>
      </c>
    </row>
    <row r="27">
      <c r="A27" s="14" t="inlineStr">
        <is>
          <t>3. TAMAÑO DE MUESTRA</t>
        </is>
      </c>
    </row>
    <row r="28">
      <c r="A28" s="2" t="inlineStr">
        <is>
          <t>V₀ — varianza máxima admitida</t>
        </is>
      </c>
      <c r="B28" s="3" t="n"/>
      <c r="C28" s="6" t="inlineStr">
        <is>
          <t>para Ŷ o ȳ</t>
        </is>
      </c>
    </row>
    <row r="29">
      <c r="A29" s="2" t="inlineStr">
        <is>
          <t>d — semiancho máximo del IC</t>
        </is>
      </c>
      <c r="B29" s="18" t="n">
        <v>0.05</v>
      </c>
    </row>
    <row r="30">
      <c r="A30" s="2" t="inlineStr">
        <is>
          <t>n aprox. — media (con V₀)</t>
        </is>
      </c>
      <c r="B30" s="7">
        <f>IF(B28="","",IFERROR(ROUNDUP(B4*((B4-1)*B8+B4*B10^2)/(B28*B4^2+((B4-1)*B8+B4*B10^2)),0),""))</f>
        <v/>
      </c>
    </row>
    <row r="31">
      <c r="A31" s="2" t="inlineStr">
        <is>
          <t>n aprox. — media (con d y 1-α)</t>
        </is>
      </c>
      <c r="B31" s="7">
        <f>IFERROR(ROUNDUP(B4*((B4-1)*B8+B4*B10^2)/(((B29/B7)^2)*B4^2+((B4-1)*B8+B4*B10^2)),0),"")</f>
        <v/>
      </c>
    </row>
    <row r="32">
      <c r="A32" s="2" t="inlineStr">
        <is>
          <t>n aprox. — proporción (con V₀)</t>
        </is>
      </c>
      <c r="B32" s="7">
        <f>IF(B28="","",IFERROR(ROUNDUP(B4*B9/(B28*B4+B9),0),""))</f>
        <v/>
      </c>
    </row>
    <row r="33">
      <c r="A33" s="2" t="inlineStr">
        <is>
          <t>n aprox. — proporción (con d)</t>
        </is>
      </c>
      <c r="B33" s="7">
        <f>IFERROR(ROUNDUP(B4*B9/(((B29/B7)^2)*B4+B9),0),"")</f>
        <v/>
      </c>
    </row>
    <row r="36">
      <c r="A36" s="14" t="inlineStr">
        <is>
          <t>4. TABLA n = f(d, 1-α)  (puede cambiar los valores de d y 1-α)</t>
        </is>
      </c>
    </row>
    <row r="37">
      <c r="A37" s="11" t="inlineStr">
        <is>
          <t>d \ 1-α</t>
        </is>
      </c>
      <c r="B37" s="19" t="n">
        <v>0.9</v>
      </c>
      <c r="C37" s="19" t="n">
        <v>0.95</v>
      </c>
      <c r="D37" s="19" t="n">
        <v>0.99</v>
      </c>
    </row>
    <row r="38">
      <c r="A38" s="18" t="n">
        <v>0.01</v>
      </c>
      <c r="B38" s="7">
        <f>IFERROR(ROUNDUP($B$4*((((B4-1)*B8+B4*B10^2))/(((($A38/_xlfn.NORM.S.INV((1-B$37)/2))^2)*$B$4^2)+((B4-1)*B8+B4*B10^2))),0),"")</f>
        <v/>
      </c>
      <c r="C38" s="7">
        <f>IFERROR(ROUNDUP($B$4*((((B4-1)*B8+B4*B10^2))/(((($A38/_xlfn.NORM.S.INV((1-C$37)/2))^2)*$B$4^2)+((B4-1)*B8+B4*B10^2))),0),"")</f>
        <v/>
      </c>
      <c r="D38" s="7">
        <f>IFERROR(ROUNDUP($B$4*((((B4-1)*B8+B4*B10^2))/(((($A38/_xlfn.NORM.S.INV((1-D$37)/2))^2)*$B$4^2)+((B4-1)*B8+B4*B10^2))),0),"")</f>
        <v/>
      </c>
    </row>
    <row r="39">
      <c r="A39" s="18" t="n">
        <v>0.02</v>
      </c>
      <c r="B39" s="7">
        <f>IFERROR(ROUNDUP($B$4*((((B4-1)*B8+B4*B10^2))/(((($A39/_xlfn.NORM.S.INV((1-B$37)/2))^2)*$B$4^2)+((B4-1)*B8+B4*B10^2))),0),"")</f>
        <v/>
      </c>
      <c r="C39" s="7">
        <f>IFERROR(ROUNDUP($B$4*((((B4-1)*B8+B4*B10^2))/(((($A39/_xlfn.NORM.S.INV((1-C$37)/2))^2)*$B$4^2)+((B4-1)*B8+B4*B10^2))),0),"")</f>
        <v/>
      </c>
      <c r="D39" s="7">
        <f>IFERROR(ROUNDUP($B$4*((((B4-1)*B8+B4*B10^2))/(((($A39/_xlfn.NORM.S.INV((1-D$37)/2))^2)*$B$4^2)+((B4-1)*B8+B4*B10^2))),0),"")</f>
        <v/>
      </c>
    </row>
    <row r="40">
      <c r="A40" s="18" t="n">
        <v>0.05</v>
      </c>
      <c r="B40" s="7">
        <f>IFERROR(ROUNDUP($B$4*((((B4-1)*B8+B4*B10^2))/(((($A40/_xlfn.NORM.S.INV((1-B$37)/2))^2)*$B$4^2)+((B4-1)*B8+B4*B10^2))),0),"")</f>
        <v/>
      </c>
      <c r="C40" s="7">
        <f>IFERROR(ROUNDUP($B$4*((((B4-1)*B8+B4*B10^2))/(((($A40/_xlfn.NORM.S.INV((1-C$37)/2))^2)*$B$4^2)+((B4-1)*B8+B4*B10^2))),0),"")</f>
        <v/>
      </c>
      <c r="D40" s="7">
        <f>IFERROR(ROUNDUP($B$4*((((B4-1)*B8+B4*B10^2))/(((($A40/_xlfn.NORM.S.INV((1-D$37)/2))^2)*$B$4^2)+((B4-1)*B8+B4*B10^2))),0),"")</f>
        <v/>
      </c>
    </row>
    <row r="42">
      <c r="A42" s="6" t="inlineStr">
        <is>
          <t>La varianza teórica usa Σ_U yᵢ² ≈ (N-1)S² + N·Ȳ² (estimación piloto).</t>
        </is>
      </c>
    </row>
    <row r="43">
      <c r="A43" s="6" t="inlineStr">
        <is>
          <t>El tamaño de muestra n ≈ N·p; p sale de la condición Var ≤ V₀ (o z·EE ≤ d).</t>
        </is>
      </c>
    </row>
  </sheetData>
  <mergeCells count="7">
    <mergeCell ref="A36:G36"/>
    <mergeCell ref="A1:G1"/>
    <mergeCell ref="A27:G27"/>
    <mergeCell ref="A3:G3"/>
    <mergeCell ref="A20:G20"/>
    <mergeCell ref="A43:G43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  <col width="16" customWidth="1" min="9" max="9"/>
  </cols>
  <sheetData>
    <row r="1" ht="22" customHeight="1">
      <c r="A1" s="1" t="inlineStr">
        <is>
          <t>DISEÑO: MAS CON REEMPLAZO</t>
        </is>
      </c>
    </row>
    <row r="3">
      <c r="A3" s="14" t="inlineStr">
        <is>
          <t>1. PARÁMETROS</t>
        </is>
      </c>
    </row>
    <row r="4">
      <c r="A4" s="2" t="inlineStr">
        <is>
          <t>N — tamaño de la población</t>
        </is>
      </c>
      <c r="B4" s="7">
        <f>IF(Datos!B2="","",Datos!B2)</f>
        <v/>
      </c>
    </row>
    <row r="5">
      <c r="A5" s="2" t="inlineStr">
        <is>
          <t>n — tamaño de la muestra</t>
        </is>
      </c>
      <c r="B5" s="7">
        <f>IF(Datos!B3="",Datos!F3,Datos!B3)</f>
        <v/>
      </c>
      <c r="C5" s="6" t="inlineStr">
        <is>
          <t>si B3 está vacía usa el nº de datos</t>
        </is>
      </c>
    </row>
    <row r="6">
      <c r="A6" s="2" t="inlineStr">
        <is>
          <t>1-α — nivel de confianza</t>
        </is>
      </c>
      <c r="B6" s="15" t="n">
        <v>0.95</v>
      </c>
    </row>
    <row r="7">
      <c r="A7" s="2" t="inlineStr">
        <is>
          <t>z = z(α/2)</t>
        </is>
      </c>
      <c r="B7" s="7">
        <f>_xlfn.NORM.S.INV((1-B6)/2)</f>
        <v/>
      </c>
    </row>
    <row r="8">
      <c r="A8" s="2" t="inlineStr">
        <is>
          <t>S² usada (poblacional si se conoce, si no muestral)</t>
        </is>
      </c>
      <c r="B8" s="7">
        <f>IF(Datos!B5&lt;&gt;"",Datos!B5,IF(Datos!F7="","",Datos!F7))</f>
        <v/>
      </c>
    </row>
    <row r="9">
      <c r="A9" s="2" t="inlineStr">
        <is>
          <t>P usada (poblacional si se conoce, si no p̂)</t>
        </is>
      </c>
      <c r="B9" s="7">
        <f>IF(Datos!B6&lt;&gt;"",Datos!B6,IF(Datos!F11="","",Datos!F11))</f>
        <v/>
      </c>
    </row>
    <row r="10">
      <c r="A10" s="2" t="inlineStr">
        <is>
          <t>ȳ — media muestral</t>
        </is>
      </c>
      <c r="B10" s="7">
        <f>IF(Datos!F6="","",Datos!F6)</f>
        <v/>
      </c>
    </row>
    <row r="11">
      <c r="A11" s="2" t="inlineStr">
        <is>
          <t>s² — varianza muestral</t>
        </is>
      </c>
      <c r="B11" s="7">
        <f>IF(Datos!F7="","",Datos!F7)</f>
        <v/>
      </c>
    </row>
    <row r="12">
      <c r="A12" s="2" t="inlineStr">
        <is>
          <t>σ̂² = (n-1)/n · s²</t>
        </is>
      </c>
      <c r="B12" s="7">
        <f>IF(Datos!F8="","",Datos!F8)</f>
        <v/>
      </c>
    </row>
    <row r="13">
      <c r="A13" s="2" t="inlineStr">
        <is>
          <t>Σ yᵢ (muestra)</t>
        </is>
      </c>
      <c r="B13" s="7">
        <f>IF(Datos!F4="","",Datos!F4)</f>
        <v/>
      </c>
    </row>
    <row r="14">
      <c r="A14" s="2" t="inlineStr">
        <is>
          <t>Σ yᵢ² (muestra)</t>
        </is>
      </c>
      <c r="B14" s="7">
        <f>IF(Datos!F5="","",Datos!F5)</f>
        <v/>
      </c>
    </row>
    <row r="15">
      <c r="A15" s="2" t="inlineStr">
        <is>
          <t>a — nº de éxitos (Σ zᵢ)</t>
        </is>
      </c>
      <c r="B15" s="7">
        <f>IF(Datos!F9="","",Datos!F9)</f>
        <v/>
      </c>
    </row>
    <row r="16">
      <c r="A16" s="2" t="inlineStr">
        <is>
          <t>p̂ — proporción muestral</t>
        </is>
      </c>
      <c r="B16" s="7">
        <f>IF(Datos!F11="","",Datos!F11)</f>
        <v/>
      </c>
    </row>
    <row r="20">
      <c r="A20" s="14" t="inlineStr">
        <is>
          <t>2. ESTIMADORES Y VARIANZAS</t>
        </is>
      </c>
    </row>
    <row r="21">
      <c r="A21" s="16" t="inlineStr">
        <is>
          <t>Estimador</t>
        </is>
      </c>
      <c r="B21" s="16" t="inlineStr">
        <is>
          <t>Valor</t>
        </is>
      </c>
      <c r="C21" s="16" t="inlineStr">
        <is>
          <t>Varianza teórica</t>
        </is>
      </c>
      <c r="D21" s="16" t="inlineStr">
        <is>
          <t>Varianza estimada</t>
        </is>
      </c>
      <c r="E21" s="16" t="inlineStr">
        <is>
          <t>EE = √V̂</t>
        </is>
      </c>
      <c r="F21" s="16" t="inlineStr">
        <is>
          <t>IC inferior</t>
        </is>
      </c>
      <c r="G21" s="16" t="inlineStr">
        <is>
          <t>IC superior</t>
        </is>
      </c>
    </row>
    <row r="22">
      <c r="A22" s="17" t="inlineStr">
        <is>
          <t>Media</t>
        </is>
      </c>
      <c r="B22" s="7">
        <f>B10</f>
        <v/>
      </c>
      <c r="C22" s="7">
        <f>IFERROR((B4-1)/B4*B8/B5,"")</f>
        <v/>
      </c>
      <c r="D22" s="7">
        <f>IFERROR(B11/B5,"")</f>
        <v/>
      </c>
      <c r="E22" s="7">
        <f>IF(D22="","",SQRT(D22))</f>
        <v/>
      </c>
      <c r="F22" s="7">
        <f>IF(OR(B22="",E22=""),"",B22-$B$7*E22)</f>
        <v/>
      </c>
      <c r="G22" s="7">
        <f>IF(OR(B22="",E22=""),"",B22+$B$7*E22)</f>
        <v/>
      </c>
    </row>
    <row r="23">
      <c r="A23" s="17" t="inlineStr">
        <is>
          <t>Total</t>
        </is>
      </c>
      <c r="B23" s="7">
        <f>IFERROR(B4*B10,"")</f>
        <v/>
      </c>
      <c r="C23" s="7">
        <f>IFERROR(B4*(B4-1)*B8/B5,"")</f>
        <v/>
      </c>
      <c r="D23" s="7">
        <f>IFERROR(B4^2*B11/B5,"")</f>
        <v/>
      </c>
      <c r="E23" s="7">
        <f>IF(D23="","",SQRT(D23))</f>
        <v/>
      </c>
      <c r="F23" s="7">
        <f>IF(OR(B23="",E23=""),"",B23-$B$7*E23)</f>
        <v/>
      </c>
      <c r="G23" s="7">
        <f>IF(OR(B23="",E23=""),"",B23+$B$7*E23)</f>
        <v/>
      </c>
    </row>
    <row r="24">
      <c r="A24" s="17" t="inlineStr">
        <is>
          <t>Proporción</t>
        </is>
      </c>
      <c r="B24" s="7">
        <f>B16</f>
        <v/>
      </c>
      <c r="C24" s="7">
        <f>IFERROR((B4-1)/B4*B9*(1-B9)/B5,"")</f>
        <v/>
      </c>
      <c r="D24" s="7">
        <f>IFERROR(B16*(1-B16)/(B5-1),"")</f>
        <v/>
      </c>
      <c r="E24" s="7">
        <f>IF(D24="","",SQRT(D24))</f>
        <v/>
      </c>
      <c r="F24" s="7">
        <f>IF(OR(B24="",E24=""),"",B24-$B$7*E24)</f>
        <v/>
      </c>
      <c r="G24" s="7">
        <f>IF(OR(B24="",E24=""),"",B24+$B$7*E24)</f>
        <v/>
      </c>
    </row>
    <row r="27">
      <c r="A27" s="14" t="inlineStr">
        <is>
          <t>3. TAMAÑO DE MUESTRA</t>
        </is>
      </c>
    </row>
    <row r="28">
      <c r="A28" s="2" t="inlineStr">
        <is>
          <t>V₀ — varianza máxima admitida</t>
        </is>
      </c>
      <c r="B28" s="3" t="n"/>
      <c r="C28" s="6" t="inlineStr">
        <is>
          <t>para Ŷ o ȳ</t>
        </is>
      </c>
    </row>
    <row r="29">
      <c r="A29" s="2" t="inlineStr">
        <is>
          <t>d — semiancho máximo del IC</t>
        </is>
      </c>
      <c r="B29" s="18" t="n">
        <v>0.05</v>
      </c>
    </row>
    <row r="30">
      <c r="A30" s="2" t="inlineStr">
        <is>
          <t>n — media (con V₀)</t>
        </is>
      </c>
      <c r="B30" s="7">
        <f>IF(B28="","",IFERROR(ROUNDUP(B12/B28,0),""))</f>
        <v/>
      </c>
    </row>
    <row r="31">
      <c r="A31" s="2" t="inlineStr">
        <is>
          <t>n — media (con d y 1-α)</t>
        </is>
      </c>
      <c r="B31" s="7">
        <f>IFERROR(ROUNDUP(B7^2*B12/B29^2,0),"")</f>
        <v/>
      </c>
    </row>
    <row r="32">
      <c r="A32" s="2" t="inlineStr">
        <is>
          <t>n — proporción (con V₀)</t>
        </is>
      </c>
      <c r="B32" s="7">
        <f>IF(B28="","",IFERROR(ROUNDUP(B9*(1-B9)/B28,0),""))</f>
        <v/>
      </c>
    </row>
    <row r="33">
      <c r="A33" s="2" t="inlineStr">
        <is>
          <t>n — proporción (con d)</t>
        </is>
      </c>
      <c r="B33" s="7">
        <f>IFERROR(ROUNDUP(B7^2*B9*(1-B9)/B29^2,0),"")</f>
        <v/>
      </c>
    </row>
    <row r="34">
      <c r="A34" s="2" t="inlineStr">
        <is>
          <t>n — total (con V₀)</t>
        </is>
      </c>
      <c r="B34" s="7">
        <f>IF(B28="","",IFERROR(ROUNDUP(B4^2*B12/B28,0),""))</f>
        <v/>
      </c>
    </row>
    <row r="36">
      <c r="A36" s="14" t="inlineStr">
        <is>
          <t>4. TABLA n = f(d, 1-α)  (puede cambiar los valores de d y 1-α)</t>
        </is>
      </c>
    </row>
    <row r="37">
      <c r="A37" s="11" t="inlineStr">
        <is>
          <t>d \ 1-α</t>
        </is>
      </c>
      <c r="B37" s="19" t="n">
        <v>0.9</v>
      </c>
      <c r="C37" s="19" t="n">
        <v>0.95</v>
      </c>
      <c r="D37" s="19" t="n">
        <v>0.99</v>
      </c>
    </row>
    <row r="38">
      <c r="A38" s="18" t="n">
        <v>0.01</v>
      </c>
      <c r="B38" s="7">
        <f>IFERROR(ROUNDUP(_xlfn.NORM.S.INV((1-B$37)/2)^2*$B$12/$A38^2,0),"")</f>
        <v/>
      </c>
      <c r="C38" s="7">
        <f>IFERROR(ROUNDUP(_xlfn.NORM.S.INV((1-C$37)/2)^2*$B$12/$A38^2,0),"")</f>
        <v/>
      </c>
      <c r="D38" s="7">
        <f>IFERROR(ROUNDUP(_xlfn.NORM.S.INV((1-D$37)/2)^2*$B$12/$A38^2,0),"")</f>
        <v/>
      </c>
    </row>
    <row r="39">
      <c r="A39" s="18" t="n">
        <v>0.02</v>
      </c>
      <c r="B39" s="7">
        <f>IFERROR(ROUNDUP(_xlfn.NORM.S.INV((1-B$37)/2)^2*$B$12/$A39^2,0),"")</f>
        <v/>
      </c>
      <c r="C39" s="7">
        <f>IFERROR(ROUNDUP(_xlfn.NORM.S.INV((1-C$37)/2)^2*$B$12/$A39^2,0),"")</f>
        <v/>
      </c>
      <c r="D39" s="7">
        <f>IFERROR(ROUNDUP(_xlfn.NORM.S.INV((1-D$37)/2)^2*$B$12/$A39^2,0),"")</f>
        <v/>
      </c>
    </row>
    <row r="40">
      <c r="A40" s="18" t="n">
        <v>0.05</v>
      </c>
      <c r="B40" s="7">
        <f>IFERROR(ROUNDUP(_xlfn.NORM.S.INV((1-B$37)/2)^2*$B$12/$A40^2,0),"")</f>
        <v/>
      </c>
      <c r="C40" s="7">
        <f>IFERROR(ROUNDUP(_xlfn.NORM.S.INV((1-C$37)/2)^2*$B$12/$A40^2,0),"")</f>
        <v/>
      </c>
      <c r="D40" s="7">
        <f>IFERROR(ROUNDUP(_xlfn.NORM.S.INV((1-D$37)/2)^2*$B$12/$A40^2,0),"")</f>
        <v/>
      </c>
    </row>
    <row r="42">
      <c r="A42" s="6" t="inlineStr">
        <is>
          <t>Varianzas exactas: Var(ȳ) = σ²/n con σ² = (N-1)/N · S².</t>
        </is>
      </c>
    </row>
    <row r="43">
      <c r="A43" s="6" t="inlineStr">
        <is>
          <t>La tabla inferior es para la MEDIA; para la proporción cambie σ̂² por P(1-P).</t>
        </is>
      </c>
    </row>
  </sheetData>
  <mergeCells count="7">
    <mergeCell ref="A36:G36"/>
    <mergeCell ref="A1:G1"/>
    <mergeCell ref="A27:G27"/>
    <mergeCell ref="A3:G3"/>
    <mergeCell ref="A20:G20"/>
    <mergeCell ref="A43:G43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  <col width="16" customWidth="1" min="9" max="9"/>
  </cols>
  <sheetData>
    <row r="1" ht="22" customHeight="1">
      <c r="A1" s="1" t="inlineStr">
        <is>
          <t>DISEÑO: MAS SIN REEMPLAZO</t>
        </is>
      </c>
    </row>
    <row r="3">
      <c r="A3" s="14" t="inlineStr">
        <is>
          <t>1. PARÁMETROS</t>
        </is>
      </c>
    </row>
    <row r="4">
      <c r="A4" s="2" t="inlineStr">
        <is>
          <t>N — tamaño de la población</t>
        </is>
      </c>
      <c r="B4" s="7">
        <f>IF(Datos!B2="","",Datos!B2)</f>
        <v/>
      </c>
    </row>
    <row r="5">
      <c r="A5" s="2" t="inlineStr">
        <is>
          <t>n — tamaño de la muestra</t>
        </is>
      </c>
      <c r="B5" s="7">
        <f>IF(Datos!B3="",Datos!F3,Datos!B3)</f>
        <v/>
      </c>
      <c r="C5" s="6" t="inlineStr">
        <is>
          <t>si B3 está vacía usa el nº de datos</t>
        </is>
      </c>
    </row>
    <row r="6">
      <c r="A6" s="2" t="inlineStr">
        <is>
          <t>1-α — nivel de confianza</t>
        </is>
      </c>
      <c r="B6" s="15" t="n">
        <v>0.95</v>
      </c>
    </row>
    <row r="7">
      <c r="A7" s="2" t="inlineStr">
        <is>
          <t>z = z(α/2)</t>
        </is>
      </c>
      <c r="B7" s="7">
        <f>_xlfn.NORM.S.INV((1-B6)/2)</f>
        <v/>
      </c>
    </row>
    <row r="8">
      <c r="A8" s="2" t="inlineStr">
        <is>
          <t>S² usada (poblacional si se conoce, si no muestral)</t>
        </is>
      </c>
      <c r="B8" s="7">
        <f>IF(Datos!B5&lt;&gt;"",Datos!B5,IF(Datos!F7="","",Datos!F7))</f>
        <v/>
      </c>
    </row>
    <row r="9">
      <c r="A9" s="2" t="inlineStr">
        <is>
          <t>P usada (poblacional si se conoce, si no p̂)</t>
        </is>
      </c>
      <c r="B9" s="7">
        <f>IF(Datos!B6&lt;&gt;"",Datos!B6,IF(Datos!F11="","",Datos!F11))</f>
        <v/>
      </c>
    </row>
    <row r="10">
      <c r="A10" s="2" t="inlineStr">
        <is>
          <t>ȳ — media muestral</t>
        </is>
      </c>
      <c r="B10" s="7">
        <f>IF(Datos!F6="","",Datos!F6)</f>
        <v/>
      </c>
    </row>
    <row r="11">
      <c r="A11" s="2" t="inlineStr">
        <is>
          <t>s² — varianza muestral</t>
        </is>
      </c>
      <c r="B11" s="7">
        <f>IF(Datos!F7="","",Datos!F7)</f>
        <v/>
      </c>
    </row>
    <row r="12">
      <c r="A12" s="2" t="inlineStr">
        <is>
          <t>σ̂² = (n-1)/n · s²</t>
        </is>
      </c>
      <c r="B12" s="7">
        <f>IF(Datos!F8="","",Datos!F8)</f>
        <v/>
      </c>
    </row>
    <row r="13">
      <c r="A13" s="2" t="inlineStr">
        <is>
          <t>Σ yᵢ (muestra)</t>
        </is>
      </c>
      <c r="B13" s="7">
        <f>IF(Datos!F4="","",Datos!F4)</f>
        <v/>
      </c>
    </row>
    <row r="14">
      <c r="A14" s="2" t="inlineStr">
        <is>
          <t>Σ yᵢ² (muestra)</t>
        </is>
      </c>
      <c r="B14" s="7">
        <f>IF(Datos!F5="","",Datos!F5)</f>
        <v/>
      </c>
    </row>
    <row r="15">
      <c r="A15" s="2" t="inlineStr">
        <is>
          <t>a — nº de éxitos (Σ zᵢ)</t>
        </is>
      </c>
      <c r="B15" s="7">
        <f>IF(Datos!F9="","",Datos!F9)</f>
        <v/>
      </c>
    </row>
    <row r="16">
      <c r="A16" s="2" t="inlineStr">
        <is>
          <t>p̂ — proporción muestral</t>
        </is>
      </c>
      <c r="B16" s="7">
        <f>IF(Datos!F11="","",Datos!F11)</f>
        <v/>
      </c>
    </row>
    <row r="20">
      <c r="A20" s="14" t="inlineStr">
        <is>
          <t>2. ESTIMADORES Y VARIANZAS</t>
        </is>
      </c>
    </row>
    <row r="21">
      <c r="A21" s="16" t="inlineStr">
        <is>
          <t>Estimador</t>
        </is>
      </c>
      <c r="B21" s="16" t="inlineStr">
        <is>
          <t>Valor</t>
        </is>
      </c>
      <c r="C21" s="16" t="inlineStr">
        <is>
          <t>Varianza teórica</t>
        </is>
      </c>
      <c r="D21" s="16" t="inlineStr">
        <is>
          <t>Varianza estimada</t>
        </is>
      </c>
      <c r="E21" s="16" t="inlineStr">
        <is>
          <t>EE = √V̂</t>
        </is>
      </c>
      <c r="F21" s="16" t="inlineStr">
        <is>
          <t>IC inferior</t>
        </is>
      </c>
      <c r="G21" s="16" t="inlineStr">
        <is>
          <t>IC superior</t>
        </is>
      </c>
    </row>
    <row r="22">
      <c r="A22" s="17" t="inlineStr">
        <is>
          <t>Media</t>
        </is>
      </c>
      <c r="B22" s="7">
        <f>B10</f>
        <v/>
      </c>
      <c r="C22" s="7">
        <f>IFERROR((1-B5/B4)*B8/B5,"")</f>
        <v/>
      </c>
      <c r="D22" s="7">
        <f>IFERROR((1-B5/B4)*B11/B5,"")</f>
        <v/>
      </c>
      <c r="E22" s="7">
        <f>IF(D22="","",SQRT(D22))</f>
        <v/>
      </c>
      <c r="F22" s="7">
        <f>IF(OR(B22="",E22=""),"",B22-$B$7*E22)</f>
        <v/>
      </c>
      <c r="G22" s="7">
        <f>IF(OR(B22="",E22=""),"",B22+$B$7*E22)</f>
        <v/>
      </c>
    </row>
    <row r="23">
      <c r="A23" s="17" t="inlineStr">
        <is>
          <t>Total</t>
        </is>
      </c>
      <c r="B23" s="7">
        <f>IFERROR(B4*B10,"")</f>
        <v/>
      </c>
      <c r="C23" s="7">
        <f>IFERROR(B4^2*(1-B5/B4)*B8/B5,"")</f>
        <v/>
      </c>
      <c r="D23" s="7">
        <f>IFERROR(B4^2*(1-B5/B4)*B11/B5,"")</f>
        <v/>
      </c>
      <c r="E23" s="7">
        <f>IF(D23="","",SQRT(D23))</f>
        <v/>
      </c>
      <c r="F23" s="7">
        <f>IF(OR(B23="",E23=""),"",B23-$B$7*E23)</f>
        <v/>
      </c>
      <c r="G23" s="7">
        <f>IF(OR(B23="",E23=""),"",B23+$B$7*E23)</f>
        <v/>
      </c>
    </row>
    <row r="24">
      <c r="A24" s="17" t="inlineStr">
        <is>
          <t>Proporción</t>
        </is>
      </c>
      <c r="B24" s="7">
        <f>B16</f>
        <v/>
      </c>
      <c r="C24" s="7">
        <f>IFERROR((1-B5/B4)*B4*B9*(1-B9)/((B4-1)*B5),"")</f>
        <v/>
      </c>
      <c r="D24" s="7">
        <f>IFERROR((1-B5/B4)*B16*(1-B16)/(B5-1),"")</f>
        <v/>
      </c>
      <c r="E24" s="7">
        <f>IF(D24="","",SQRT(D24))</f>
        <v/>
      </c>
      <c r="F24" s="7">
        <f>IF(OR(B24="",E24=""),"",B24-$B$7*E24)</f>
        <v/>
      </c>
      <c r="G24" s="7">
        <f>IF(OR(B24="",E24=""),"",B24+$B$7*E24)</f>
        <v/>
      </c>
    </row>
    <row r="27">
      <c r="A27" s="14" t="inlineStr">
        <is>
          <t>3. TAMAÑO DE MUESTRA</t>
        </is>
      </c>
    </row>
    <row r="28">
      <c r="A28" s="2" t="inlineStr">
        <is>
          <t>V₀ — varianza máxima admitida</t>
        </is>
      </c>
      <c r="B28" s="3" t="n"/>
      <c r="C28" s="6" t="inlineStr">
        <is>
          <t>para Ŷ o ȳ</t>
        </is>
      </c>
    </row>
    <row r="29">
      <c r="A29" s="2" t="inlineStr">
        <is>
          <t>d — semiancho máximo del IC</t>
        </is>
      </c>
      <c r="B29" s="18" t="n">
        <v>0.05</v>
      </c>
    </row>
    <row r="30">
      <c r="A30" s="2" t="inlineStr">
        <is>
          <t>n — media (con V₀)</t>
        </is>
      </c>
      <c r="B30" s="7">
        <f>IF(B28="","",IFERROR(ROUNDUP(B4*B8/(B4*B28+B8),0),""))</f>
        <v/>
      </c>
    </row>
    <row r="31">
      <c r="A31" s="2" t="inlineStr">
        <is>
          <t>n — media (con d y 1-α)</t>
        </is>
      </c>
      <c r="B31" s="7">
        <f>IFERROR(ROUNDUP(B4*B7^2*B8/(B29^2*(B4-1)+B7^2*B8),0),"")</f>
        <v/>
      </c>
    </row>
    <row r="32">
      <c r="A32" s="2" t="inlineStr">
        <is>
          <t>n — proporción (con V₀)</t>
        </is>
      </c>
      <c r="B32" s="7">
        <f>IF(B28="","",IFERROR(ROUNDUP(B4*B9*(1-B9)/((B4-1)*B28+B9*(1-B9)),0),""))</f>
        <v/>
      </c>
    </row>
    <row r="33">
      <c r="A33" s="2" t="inlineStr">
        <is>
          <t>n — proporción (con d)</t>
        </is>
      </c>
      <c r="B33" s="7">
        <f>IFERROR(ROUNDUP(B4*B7^2*B9*(1-B9)/(B29^2*(B4-1)+B7^2*B9*(1-B9)),0),"")</f>
        <v/>
      </c>
    </row>
    <row r="34">
      <c r="A34" s="2" t="inlineStr">
        <is>
          <t>n — total (con V₀)</t>
        </is>
      </c>
      <c r="B34" s="7">
        <f>IF(B28="","",IFERROR(ROUNDUP(B4^2*B8/(B28+B4*B8),0),""))</f>
        <v/>
      </c>
    </row>
    <row r="36">
      <c r="A36" s="14" t="inlineStr">
        <is>
          <t>4. TABLA n = f(d, 1-α)  (puede cambiar los valores de d y 1-α)</t>
        </is>
      </c>
    </row>
    <row r="37">
      <c r="A37" s="11" t="inlineStr">
        <is>
          <t>d \ 1-α</t>
        </is>
      </c>
      <c r="B37" s="19" t="n">
        <v>0.9</v>
      </c>
      <c r="C37" s="19" t="n">
        <v>0.95</v>
      </c>
      <c r="D37" s="19" t="n">
        <v>0.99</v>
      </c>
    </row>
    <row r="38">
      <c r="A38" s="18" t="n">
        <v>0.01</v>
      </c>
      <c r="B38" s="7">
        <f>IFERROR(ROUNDUP($B$4*_xlfn.NORM.S.INV((1-B$37)/2)^2*$B$8/($A38^2*($B$4-1)+_xlfn.NORM.S.INV((1-B$37)/2)^2*$B$8),0),"")</f>
        <v/>
      </c>
      <c r="C38" s="7">
        <f>IFERROR(ROUNDUP($B$4*_xlfn.NORM.S.INV((1-C$37)/2)^2*$B$8/($A38^2*($B$4-1)+_xlfn.NORM.S.INV((1-C$37)/2)^2*$B$8),0),"")</f>
        <v/>
      </c>
      <c r="D38" s="7">
        <f>IFERROR(ROUNDUP($B$4*_xlfn.NORM.S.INV((1-D$37)/2)^2*$B$8/($A38^2*($B$4-1)+_xlfn.NORM.S.INV((1-D$37)/2)^2*$B$8),0),"")</f>
        <v/>
      </c>
    </row>
    <row r="39">
      <c r="A39" s="18" t="n">
        <v>0.02</v>
      </c>
      <c r="B39" s="7">
        <f>IFERROR(ROUNDUP($B$4*_xlfn.NORM.S.INV((1-B$37)/2)^2*$B$8/($A39^2*($B$4-1)+_xlfn.NORM.S.INV((1-B$37)/2)^2*$B$8),0),"")</f>
        <v/>
      </c>
      <c r="C39" s="7">
        <f>IFERROR(ROUNDUP($B$4*_xlfn.NORM.S.INV((1-C$37)/2)^2*$B$8/($A39^2*($B$4-1)+_xlfn.NORM.S.INV((1-C$37)/2)^2*$B$8),0),"")</f>
        <v/>
      </c>
      <c r="D39" s="7">
        <f>IFERROR(ROUNDUP($B$4*_xlfn.NORM.S.INV((1-D$37)/2)^2*$B$8/($A39^2*($B$4-1)+_xlfn.NORM.S.INV((1-D$37)/2)^2*$B$8),0),"")</f>
        <v/>
      </c>
    </row>
    <row r="40">
      <c r="A40" s="18" t="n">
        <v>0.05</v>
      </c>
      <c r="B40" s="7">
        <f>IFERROR(ROUNDUP($B$4*_xlfn.NORM.S.INV((1-B$37)/2)^2*$B$8/($A40^2*($B$4-1)+_xlfn.NORM.S.INV((1-B$37)/2)^2*$B$8),0),"")</f>
        <v/>
      </c>
      <c r="C40" s="7">
        <f>IFERROR(ROUNDUP($B$4*_xlfn.NORM.S.INV((1-C$37)/2)^2*$B$8/($A40^2*($B$4-1)+_xlfn.NORM.S.INV((1-C$37)/2)^2*$B$8),0),"")</f>
        <v/>
      </c>
      <c r="D40" s="7">
        <f>IFERROR(ROUNDUP($B$4*_xlfn.NORM.S.INV((1-D$37)/2)^2*$B$8/($A40^2*($B$4-1)+_xlfn.NORM.S.INV((1-D$37)/2)^2*$B$8),0),"")</f>
        <v/>
      </c>
    </row>
    <row r="42">
      <c r="A42" s="6" t="inlineStr">
        <is>
          <t>El factor (1 - n/N) es la corrección por población finita (fpc).</t>
        </is>
      </c>
    </row>
    <row r="43">
      <c r="A43" s="6" t="inlineStr">
        <is>
          <t>La tabla inferior es para la MEDIA con S²; para la proporción use P(1-P) en vez de S².</t>
        </is>
      </c>
    </row>
  </sheetData>
  <mergeCells count="7">
    <mergeCell ref="A36:G36"/>
    <mergeCell ref="A1:G1"/>
    <mergeCell ref="A27:G27"/>
    <mergeCell ref="A3:G3"/>
    <mergeCell ref="A20:G20"/>
    <mergeCell ref="A43:G43"/>
    <mergeCell ref="A42:G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I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  <col hidden="1" width="16" customWidth="1" min="9" max="9"/>
  </cols>
  <sheetData>
    <row r="1" ht="22" customHeight="1">
      <c r="A1" s="1" t="inlineStr">
        <is>
          <t>DISEÑO: SISTEMÁTICO</t>
        </is>
      </c>
    </row>
    <row r="3">
      <c r="A3" s="14" t="inlineStr">
        <is>
          <t>1. PARÁMETROS</t>
        </is>
      </c>
    </row>
    <row r="4">
      <c r="A4" s="2" t="inlineStr">
        <is>
          <t>N — tamaño de la población</t>
        </is>
      </c>
      <c r="B4" s="7">
        <f>IF(Datos!B2="","",Datos!B2)</f>
        <v/>
      </c>
    </row>
    <row r="5">
      <c r="A5" s="2" t="inlineStr">
        <is>
          <t>n — tamaño de la muestra</t>
        </is>
      </c>
      <c r="B5" s="7">
        <f>IF(Datos!B3="",Datos!F3,Datos!B3)</f>
        <v/>
      </c>
      <c r="C5" s="6" t="inlineStr">
        <is>
          <t>si B3 está vacía usa el nº de datos</t>
        </is>
      </c>
    </row>
    <row r="6">
      <c r="A6" s="2" t="inlineStr">
        <is>
          <t>1-α — nivel de confianza</t>
        </is>
      </c>
      <c r="B6" s="15" t="n">
        <v>0.95</v>
      </c>
    </row>
    <row r="7">
      <c r="A7" s="2" t="inlineStr">
        <is>
          <t>z = z(α/2)</t>
        </is>
      </c>
      <c r="B7" s="7">
        <f>_xlfn.NORM.S.INV((1-B6)/2)</f>
        <v/>
      </c>
    </row>
    <row r="8">
      <c r="A8" s="2" t="inlineStr">
        <is>
          <t>S² usada (poblacional si se conoce, si no muestral)</t>
        </is>
      </c>
      <c r="B8" s="7">
        <f>IF(Datos!B5&lt;&gt;"",Datos!B5,IF(Datos!F7="","",Datos!F7))</f>
        <v/>
      </c>
    </row>
    <row r="9">
      <c r="A9" s="2" t="inlineStr">
        <is>
          <t>P usada (poblacional si se conoce, si no p̂)</t>
        </is>
      </c>
      <c r="B9" s="7">
        <f>IF(Datos!B6&lt;&gt;"",Datos!B6,IF(Datos!F11="","",Datos!F11))</f>
        <v/>
      </c>
      <c r="I9" s="4" t="inlineStr">
        <is>
          <t>dif² aux</t>
        </is>
      </c>
    </row>
    <row r="10">
      <c r="A10" s="2" t="inlineStr">
        <is>
          <t>ȳ — media muestral</t>
        </is>
      </c>
      <c r="B10" s="7">
        <f>IF(Datos!F6="","",Datos!F6)</f>
        <v/>
      </c>
      <c r="I10">
        <f>IF(OR(Datos!B10="",Datos!B11=""),"",(Datos!B11-Datos!B10)^2)</f>
        <v/>
      </c>
    </row>
    <row r="11">
      <c r="A11" s="2" t="inlineStr">
        <is>
          <t>s² — varianza muestral</t>
        </is>
      </c>
      <c r="B11" s="7">
        <f>IF(Datos!F7="","",Datos!F7)</f>
        <v/>
      </c>
      <c r="I11">
        <f>IF(OR(Datos!B11="",Datos!B12=""),"",(Datos!B12-Datos!B11)^2)</f>
        <v/>
      </c>
    </row>
    <row r="12">
      <c r="A12" s="2" t="inlineStr">
        <is>
          <t>σ̂² = (n-1)/n · s²</t>
        </is>
      </c>
      <c r="B12" s="7">
        <f>IF(Datos!F8="","",Datos!F8)</f>
        <v/>
      </c>
      <c r="I12">
        <f>IF(OR(Datos!B12="",Datos!B13=""),"",(Datos!B13-Datos!B12)^2)</f>
        <v/>
      </c>
    </row>
    <row r="13">
      <c r="A13" s="2" t="inlineStr">
        <is>
          <t>Σ yᵢ (muestra)</t>
        </is>
      </c>
      <c r="B13" s="7">
        <f>IF(Datos!F4="","",Datos!F4)</f>
        <v/>
      </c>
      <c r="I13">
        <f>IF(OR(Datos!B13="",Datos!B14=""),"",(Datos!B14-Datos!B13)^2)</f>
        <v/>
      </c>
    </row>
    <row r="14">
      <c r="A14" s="2" t="inlineStr">
        <is>
          <t>Σ yᵢ² (muestra)</t>
        </is>
      </c>
      <c r="B14" s="7">
        <f>IF(Datos!F5="","",Datos!F5)</f>
        <v/>
      </c>
      <c r="I14">
        <f>IF(OR(Datos!B14="",Datos!B15=""),"",(Datos!B15-Datos!B14)^2)</f>
        <v/>
      </c>
    </row>
    <row r="15">
      <c r="A15" s="2" t="inlineStr">
        <is>
          <t>a — nº de éxitos (Σ zᵢ)</t>
        </is>
      </c>
      <c r="B15" s="7">
        <f>IF(Datos!F9="","",Datos!F9)</f>
        <v/>
      </c>
      <c r="I15">
        <f>IF(OR(Datos!B15="",Datos!B16=""),"",(Datos!B16-Datos!B15)^2)</f>
        <v/>
      </c>
    </row>
    <row r="16">
      <c r="A16" s="2" t="inlineStr">
        <is>
          <t>p̂ — proporción muestral</t>
        </is>
      </c>
      <c r="B16" s="7">
        <f>IF(Datos!F11="","",Datos!F11)</f>
        <v/>
      </c>
      <c r="I16">
        <f>IF(OR(Datos!B16="",Datos!B17=""),"",(Datos!B17-Datos!B16)^2)</f>
        <v/>
      </c>
    </row>
    <row r="17">
      <c r="A17" s="2" t="inlineStr">
        <is>
          <t>k = N/n — intervalo de muestreo</t>
        </is>
      </c>
      <c r="B17" s="7">
        <f>IF(OR(B4="",B5=""),"",B4/B5)</f>
        <v/>
      </c>
      <c r="C17" s="6" t="inlineStr">
        <is>
          <t>debe ser entero; arranque aleatorio r ∈ {1,...,k}</t>
        </is>
      </c>
      <c r="I17">
        <f>IF(OR(Datos!B17="",Datos!B18=""),"",(Datos!B18-Datos!B17)^2)</f>
        <v/>
      </c>
    </row>
    <row r="18">
      <c r="A18" s="2" t="inlineStr">
        <is>
          <t>ρ — correlación intraclase (0 si no se conoce)</t>
        </is>
      </c>
      <c r="B18" s="3" t="n"/>
      <c r="C18" s="6" t="inlineStr">
        <is>
          <t>solo para la varianza teórica</t>
        </is>
      </c>
      <c r="I18">
        <f>IF(OR(Datos!B18="",Datos!B19=""),"",(Datos!B19-Datos!B18)^2)</f>
        <v/>
      </c>
    </row>
    <row r="19">
      <c r="A19" s="2" t="inlineStr">
        <is>
          <t>Σ(yᵢ₊₁−yᵢ)² (auxiliar, columna I)</t>
        </is>
      </c>
      <c r="B19" s="7">
        <f>IFERROR(SUM(I10:I1008),"")</f>
        <v/>
      </c>
      <c r="I19">
        <f>IF(OR(Datos!B19="",Datos!B20=""),"",(Datos!B20-Datos!B19)^2)</f>
        <v/>
      </c>
    </row>
    <row r="20">
      <c r="A20" s="14" t="inlineStr">
        <is>
          <t>2. ESTIMADORES Y VARIANZAS</t>
        </is>
      </c>
      <c r="I20">
        <f>IF(OR(Datos!B20="",Datos!B21=""),"",(Datos!B21-Datos!B20)^2)</f>
        <v/>
      </c>
    </row>
    <row r="21">
      <c r="A21" s="16" t="inlineStr">
        <is>
          <t>Estimador</t>
        </is>
      </c>
      <c r="B21" s="16" t="inlineStr">
        <is>
          <t>Valor</t>
        </is>
      </c>
      <c r="C21" s="16" t="inlineStr">
        <is>
          <t>Varianza teórica</t>
        </is>
      </c>
      <c r="D21" s="16" t="inlineStr">
        <is>
          <t>Varianza estimada</t>
        </is>
      </c>
      <c r="E21" s="16" t="inlineStr">
        <is>
          <t>EE = √V̂</t>
        </is>
      </c>
      <c r="F21" s="16" t="inlineStr">
        <is>
          <t>IC inferior</t>
        </is>
      </c>
      <c r="G21" s="16" t="inlineStr">
        <is>
          <t>IC superior</t>
        </is>
      </c>
      <c r="I21">
        <f>IF(OR(Datos!B21="",Datos!B22=""),"",(Datos!B22-Datos!B21)^2)</f>
        <v/>
      </c>
    </row>
    <row r="22">
      <c r="A22" s="17" t="inlineStr">
        <is>
          <t>Media</t>
        </is>
      </c>
      <c r="B22" s="7">
        <f>B10</f>
        <v/>
      </c>
      <c r="C22" s="7">
        <f>IFERROR((B4-1)/B4*B8/B5*(1+(B5-1)*B18),"")</f>
        <v/>
      </c>
      <c r="D22" s="7">
        <f>IFERROR((1-B5/B4)*B11/B5,"")</f>
        <v/>
      </c>
      <c r="E22" s="7">
        <f>IF(D22="","",SQRT(D22))</f>
        <v/>
      </c>
      <c r="F22" s="7">
        <f>IF(OR(B22="",E22=""),"",B22-$B$7*E22)</f>
        <v/>
      </c>
      <c r="G22" s="7">
        <f>IF(OR(B22="",E22=""),"",B22+$B$7*E22)</f>
        <v/>
      </c>
      <c r="I22">
        <f>IF(OR(Datos!B22="",Datos!B23=""),"",(Datos!B23-Datos!B22)^2)</f>
        <v/>
      </c>
    </row>
    <row r="23">
      <c r="A23" s="17" t="inlineStr">
        <is>
          <t>Total</t>
        </is>
      </c>
      <c r="B23" s="7">
        <f>IFERROR(B4*B10,"")</f>
        <v/>
      </c>
      <c r="C23" s="7">
        <f>IFERROR(B4*(B4-1)*B8/B5*(1+(B5-1)*B18),"")</f>
        <v/>
      </c>
      <c r="D23" s="7">
        <f>IFERROR(B4^2*(1-B5/B4)*B11/B5,"")</f>
        <v/>
      </c>
      <c r="E23" s="7">
        <f>IF(D23="","",SQRT(D23))</f>
        <v/>
      </c>
      <c r="F23" s="7">
        <f>IF(OR(B23="",E23=""),"",B23-$B$7*E23)</f>
        <v/>
      </c>
      <c r="G23" s="7">
        <f>IF(OR(B23="",E23=""),"",B23+$B$7*E23)</f>
        <v/>
      </c>
      <c r="I23">
        <f>IF(OR(Datos!B23="",Datos!B24=""),"",(Datos!B24-Datos!B23)^2)</f>
        <v/>
      </c>
    </row>
    <row r="24">
      <c r="A24" s="17" t="inlineStr">
        <is>
          <t>Proporción</t>
        </is>
      </c>
      <c r="B24" s="7">
        <f>B16</f>
        <v/>
      </c>
      <c r="C24" s="7">
        <f>IFERROR((1-B5/B4)*B4*B9*(1-B9)/((B4-1)*B5),"")</f>
        <v/>
      </c>
      <c r="D24" s="7">
        <f>IFERROR((1-B5/B4)*B16*(1-B16)/(B5-1),"")</f>
        <v/>
      </c>
      <c r="E24" s="7">
        <f>IF(D24="","",SQRT(D24))</f>
        <v/>
      </c>
      <c r="F24" s="7">
        <f>IF(OR(B24="",E24=""),"",B24-$B$7*E24)</f>
        <v/>
      </c>
      <c r="G24" s="7">
        <f>IF(OR(B24="",E24=""),"",B24+$B$7*E24)</f>
        <v/>
      </c>
      <c r="I24">
        <f>IF(OR(Datos!B24="",Datos!B25=""),"",(Datos!B25-Datos!B24)^2)</f>
        <v/>
      </c>
    </row>
    <row r="25">
      <c r="A25" s="2" t="inlineStr">
        <is>
          <t>Var. estimada por diferencias sucesivas (media)</t>
        </is>
      </c>
      <c r="B25" s="7">
        <f>IFERROR((1-B5/B4)/(2*B5*(B5-1))*B19,"")</f>
        <v/>
      </c>
      <c r="I25">
        <f>IF(OR(Datos!B25="",Datos!B26=""),"",(Datos!B26-Datos!B25)^2)</f>
        <v/>
      </c>
    </row>
    <row r="26">
      <c r="I26">
        <f>IF(OR(Datos!B26="",Datos!B27=""),"",(Datos!B27-Datos!B26)^2)</f>
        <v/>
      </c>
    </row>
    <row r="27">
      <c r="A27" s="14" t="inlineStr">
        <is>
          <t>3. TAMAÑO DE MUESTRA</t>
        </is>
      </c>
      <c r="I27">
        <f>IF(OR(Datos!B27="",Datos!B28=""),"",(Datos!B28-Datos!B27)^2)</f>
        <v/>
      </c>
    </row>
    <row r="28">
      <c r="A28" s="2" t="inlineStr">
        <is>
          <t>V₀ — varianza máxima admitida</t>
        </is>
      </c>
      <c r="B28" s="3" t="n"/>
      <c r="C28" s="6" t="inlineStr">
        <is>
          <t>para Ŷ o ȳ</t>
        </is>
      </c>
      <c r="I28">
        <f>IF(OR(Datos!B28="",Datos!B29=""),"",(Datos!B29-Datos!B28)^2)</f>
        <v/>
      </c>
    </row>
    <row r="29">
      <c r="A29" s="2" t="inlineStr">
        <is>
          <t>d — semiancho máximo del IC</t>
        </is>
      </c>
      <c r="B29" s="18" t="n">
        <v>0.05</v>
      </c>
      <c r="I29">
        <f>IF(OR(Datos!B29="",Datos!B30=""),"",(Datos!B30-Datos!B29)^2)</f>
        <v/>
      </c>
    </row>
    <row r="30">
      <c r="A30" s="2" t="inlineStr">
        <is>
          <t>n aprox. — media (con V₀)</t>
        </is>
      </c>
      <c r="B30" s="7">
        <f>IF(B28="","",IFERROR(ROUNDUP(B4*B8/(B4*B28+B8),0),""))</f>
        <v/>
      </c>
      <c r="I30">
        <f>IF(OR(Datos!B30="",Datos!B31=""),"",(Datos!B31-Datos!B30)^2)</f>
        <v/>
      </c>
    </row>
    <row r="31">
      <c r="A31" s="2" t="inlineStr">
        <is>
          <t>n aprox. — media (con d y 1-α)</t>
        </is>
      </c>
      <c r="B31" s="7">
        <f>IFERROR(ROUNDUP(B4*B7^2*B8/(B29^2*(B4-1)+B7^2*B8),0),"")</f>
        <v/>
      </c>
      <c r="I31">
        <f>IF(OR(Datos!B31="",Datos!B32=""),"",(Datos!B32-Datos!B31)^2)</f>
        <v/>
      </c>
    </row>
    <row r="32">
      <c r="A32" s="2" t="inlineStr">
        <is>
          <t>n aprox. — proporción (con V₀)</t>
        </is>
      </c>
      <c r="B32" s="7">
        <f>IF(B28="","",IFERROR(ROUNDUP(B4*B9*(1-B9)/((B4-1)*B28+B9*(1-B9)),0),""))</f>
        <v/>
      </c>
      <c r="I32">
        <f>IF(OR(Datos!B32="",Datos!B33=""),"",(Datos!B33-Datos!B32)^2)</f>
        <v/>
      </c>
    </row>
    <row r="33">
      <c r="A33" s="2" t="inlineStr">
        <is>
          <t>n aprox. — proporción (con d)</t>
        </is>
      </c>
      <c r="B33" s="7">
        <f>IFERROR(ROUNDUP(B4*B7^2*B9*(1-B9)/(B29^2*(B4-1)+B7^2*B9*(1-B9)),0),"")</f>
        <v/>
      </c>
      <c r="I33">
        <f>IF(OR(Datos!B33="",Datos!B34=""),"",(Datos!B34-Datos!B33)^2)</f>
        <v/>
      </c>
    </row>
    <row r="34">
      <c r="I34">
        <f>IF(OR(Datos!B34="",Datos!B35=""),"",(Datos!B35-Datos!B34)^2)</f>
        <v/>
      </c>
    </row>
    <row r="35">
      <c r="I35">
        <f>IF(OR(Datos!B35="",Datos!B36=""),"",(Datos!B36-Datos!B35)^2)</f>
        <v/>
      </c>
    </row>
    <row r="36">
      <c r="A36" s="14" t="inlineStr">
        <is>
          <t>4. TABLA n = f(d, 1-α)  (puede cambiar los valores de d y 1-α)</t>
        </is>
      </c>
      <c r="I36">
        <f>IF(OR(Datos!B36="",Datos!B37=""),"",(Datos!B37-Datos!B36)^2)</f>
        <v/>
      </c>
    </row>
    <row r="37">
      <c r="A37" s="11" t="inlineStr">
        <is>
          <t>d \ 1-α</t>
        </is>
      </c>
      <c r="B37" s="19" t="n">
        <v>0.9</v>
      </c>
      <c r="C37" s="19" t="n">
        <v>0.95</v>
      </c>
      <c r="D37" s="19" t="n">
        <v>0.99</v>
      </c>
      <c r="I37">
        <f>IF(OR(Datos!B37="",Datos!B38=""),"",(Datos!B38-Datos!B37)^2)</f>
        <v/>
      </c>
    </row>
    <row r="38">
      <c r="A38" s="18" t="n">
        <v>0.01</v>
      </c>
      <c r="B38" s="7">
        <f>IFERROR(ROUNDUP($B$4*_xlfn.NORM.S.INV((1-B$37)/2)^2*$B$8/($A38^2*($B$4-1)+_xlfn.NORM.S.INV((1-B$37)/2)^2*$B$8),0),"")</f>
        <v/>
      </c>
      <c r="C38" s="7">
        <f>IFERROR(ROUNDUP($B$4*_xlfn.NORM.S.INV((1-C$37)/2)^2*$B$8/($A38^2*($B$4-1)+_xlfn.NORM.S.INV((1-C$37)/2)^2*$B$8),0),"")</f>
        <v/>
      </c>
      <c r="D38" s="7">
        <f>IFERROR(ROUNDUP($B$4*_xlfn.NORM.S.INV((1-D$37)/2)^2*$B$8/($A38^2*($B$4-1)+_xlfn.NORM.S.INV((1-D$37)/2)^2*$B$8),0),"")</f>
        <v/>
      </c>
      <c r="I38">
        <f>IF(OR(Datos!B38="",Datos!B39=""),"",(Datos!B39-Datos!B38)^2)</f>
        <v/>
      </c>
    </row>
    <row r="39">
      <c r="A39" s="18" t="n">
        <v>0.02</v>
      </c>
      <c r="B39" s="7">
        <f>IFERROR(ROUNDUP($B$4*_xlfn.NORM.S.INV((1-B$37)/2)^2*$B$8/($A39^2*($B$4-1)+_xlfn.NORM.S.INV((1-B$37)/2)^2*$B$8),0),"")</f>
        <v/>
      </c>
      <c r="C39" s="7">
        <f>IFERROR(ROUNDUP($B$4*_xlfn.NORM.S.INV((1-C$37)/2)^2*$B$8/($A39^2*($B$4-1)+_xlfn.NORM.S.INV((1-C$37)/2)^2*$B$8),0),"")</f>
        <v/>
      </c>
      <c r="D39" s="7">
        <f>IFERROR(ROUNDUP($B$4*_xlfn.NORM.S.INV((1-D$37)/2)^2*$B$8/($A39^2*($B$4-1)+_xlfn.NORM.S.INV((1-D$37)/2)^2*$B$8),0),"")</f>
        <v/>
      </c>
      <c r="I39">
        <f>IF(OR(Datos!B39="",Datos!B40=""),"",(Datos!B40-Datos!B39)^2)</f>
        <v/>
      </c>
    </row>
    <row r="40">
      <c r="A40" s="18" t="n">
        <v>0.05</v>
      </c>
      <c r="B40" s="7">
        <f>IFERROR(ROUNDUP($B$4*_xlfn.NORM.S.INV((1-B$37)/2)^2*$B$8/($A40^2*($B$4-1)+_xlfn.NORM.S.INV((1-B$37)/2)^2*$B$8),0),"")</f>
        <v/>
      </c>
      <c r="C40" s="7">
        <f>IFERROR(ROUNDUP($B$4*_xlfn.NORM.S.INV((1-C$37)/2)^2*$B$8/($A40^2*($B$4-1)+_xlfn.NORM.S.INV((1-C$37)/2)^2*$B$8),0),"")</f>
        <v/>
      </c>
      <c r="D40" s="7">
        <f>IFERROR(ROUNDUP($B$4*_xlfn.NORM.S.INV((1-D$37)/2)^2*$B$8/($A40^2*($B$4-1)+_xlfn.NORM.S.INV((1-D$37)/2)^2*$B$8),0),"")</f>
        <v/>
      </c>
      <c r="I40">
        <f>IF(OR(Datos!B40="",Datos!B41=""),"",(Datos!B41-Datos!B40)^2)</f>
        <v/>
      </c>
    </row>
    <row r="41">
      <c r="I41">
        <f>IF(OR(Datos!B41="",Datos!B42=""),"",(Datos!B42-Datos!B41)^2)</f>
        <v/>
      </c>
    </row>
    <row r="42">
      <c r="A42" s="6" t="inlineStr">
        <is>
          <t>No existe estimador insesgado de la varianza: se aproxima con la del MAS sin reemplazo</t>
        </is>
      </c>
      <c r="I42">
        <f>IF(OR(Datos!B42="",Datos!B43=""),"",(Datos!B43-Datos!B42)^2)</f>
        <v/>
      </c>
    </row>
    <row r="43">
      <c r="A43" s="6" t="inlineStr">
        <is>
          <t>o con diferencias sucesivas (Wolter). La varianza teórica usa la correlación intraclase ρ.</t>
        </is>
      </c>
      <c r="I43">
        <f>IF(OR(Datos!B43="",Datos!B44=""),"",(Datos!B44-Datos!B43)^2)</f>
        <v/>
      </c>
    </row>
    <row r="44">
      <c r="A44" s="6" t="inlineStr">
        <is>
          <t>Los tamaños de muestra usan la aproximación del MAS sin reemplazo.</t>
        </is>
      </c>
      <c r="I44">
        <f>IF(OR(Datos!B44="",Datos!B45=""),"",(Datos!B45-Datos!B44)^2)</f>
        <v/>
      </c>
    </row>
    <row r="45">
      <c r="I45">
        <f>IF(OR(Datos!B45="",Datos!B46=""),"",(Datos!B46-Datos!B45)^2)</f>
        <v/>
      </c>
    </row>
    <row r="46">
      <c r="I46">
        <f>IF(OR(Datos!B46="",Datos!B47=""),"",(Datos!B47-Datos!B46)^2)</f>
        <v/>
      </c>
    </row>
    <row r="47">
      <c r="I47">
        <f>IF(OR(Datos!B47="",Datos!B48=""),"",(Datos!B48-Datos!B47)^2)</f>
        <v/>
      </c>
    </row>
    <row r="48">
      <c r="I48">
        <f>IF(OR(Datos!B48="",Datos!B49=""),"",(Datos!B49-Datos!B48)^2)</f>
        <v/>
      </c>
    </row>
    <row r="49">
      <c r="I49">
        <f>IF(OR(Datos!B49="",Datos!B50=""),"",(Datos!B50-Datos!B49)^2)</f>
        <v/>
      </c>
    </row>
    <row r="50">
      <c r="I50">
        <f>IF(OR(Datos!B50="",Datos!B51=""),"",(Datos!B51-Datos!B50)^2)</f>
        <v/>
      </c>
    </row>
    <row r="51">
      <c r="I51">
        <f>IF(OR(Datos!B51="",Datos!B52=""),"",(Datos!B52-Datos!B51)^2)</f>
        <v/>
      </c>
    </row>
    <row r="52">
      <c r="I52">
        <f>IF(OR(Datos!B52="",Datos!B53=""),"",(Datos!B53-Datos!B52)^2)</f>
        <v/>
      </c>
    </row>
    <row r="53">
      <c r="I53">
        <f>IF(OR(Datos!B53="",Datos!B54=""),"",(Datos!B54-Datos!B53)^2)</f>
        <v/>
      </c>
    </row>
    <row r="54">
      <c r="I54">
        <f>IF(OR(Datos!B54="",Datos!B55=""),"",(Datos!B55-Datos!B54)^2)</f>
        <v/>
      </c>
    </row>
    <row r="55">
      <c r="I55">
        <f>IF(OR(Datos!B55="",Datos!B56=""),"",(Datos!B56-Datos!B55)^2)</f>
        <v/>
      </c>
    </row>
    <row r="56">
      <c r="I56">
        <f>IF(OR(Datos!B56="",Datos!B57=""),"",(Datos!B57-Datos!B56)^2)</f>
        <v/>
      </c>
    </row>
    <row r="57">
      <c r="I57">
        <f>IF(OR(Datos!B57="",Datos!B58=""),"",(Datos!B58-Datos!B57)^2)</f>
        <v/>
      </c>
    </row>
    <row r="58">
      <c r="I58">
        <f>IF(OR(Datos!B58="",Datos!B59=""),"",(Datos!B59-Datos!B58)^2)</f>
        <v/>
      </c>
    </row>
    <row r="59">
      <c r="I59">
        <f>IF(OR(Datos!B59="",Datos!B60=""),"",(Datos!B60-Datos!B59)^2)</f>
        <v/>
      </c>
    </row>
    <row r="60">
      <c r="I60">
        <f>IF(OR(Datos!B60="",Datos!B61=""),"",(Datos!B61-Datos!B60)^2)</f>
        <v/>
      </c>
    </row>
    <row r="61">
      <c r="I61">
        <f>IF(OR(Datos!B61="",Datos!B62=""),"",(Datos!B62-Datos!B61)^2)</f>
        <v/>
      </c>
    </row>
    <row r="62">
      <c r="I62">
        <f>IF(OR(Datos!B62="",Datos!B63=""),"",(Datos!B63-Datos!B62)^2)</f>
        <v/>
      </c>
    </row>
    <row r="63">
      <c r="I63">
        <f>IF(OR(Datos!B63="",Datos!B64=""),"",(Datos!B64-Datos!B63)^2)</f>
        <v/>
      </c>
    </row>
    <row r="64">
      <c r="I64">
        <f>IF(OR(Datos!B64="",Datos!B65=""),"",(Datos!B65-Datos!B64)^2)</f>
        <v/>
      </c>
    </row>
    <row r="65">
      <c r="I65">
        <f>IF(OR(Datos!B65="",Datos!B66=""),"",(Datos!B66-Datos!B65)^2)</f>
        <v/>
      </c>
    </row>
    <row r="66">
      <c r="I66">
        <f>IF(OR(Datos!B66="",Datos!B67=""),"",(Datos!B67-Datos!B66)^2)</f>
        <v/>
      </c>
    </row>
    <row r="67">
      <c r="I67">
        <f>IF(OR(Datos!B67="",Datos!B68=""),"",(Datos!B68-Datos!B67)^2)</f>
        <v/>
      </c>
    </row>
    <row r="68">
      <c r="I68">
        <f>IF(OR(Datos!B68="",Datos!B69=""),"",(Datos!B69-Datos!B68)^2)</f>
        <v/>
      </c>
    </row>
    <row r="69">
      <c r="I69">
        <f>IF(OR(Datos!B69="",Datos!B70=""),"",(Datos!B70-Datos!B69)^2)</f>
        <v/>
      </c>
    </row>
    <row r="70">
      <c r="I70">
        <f>IF(OR(Datos!B70="",Datos!B71=""),"",(Datos!B71-Datos!B70)^2)</f>
        <v/>
      </c>
    </row>
    <row r="71">
      <c r="I71">
        <f>IF(OR(Datos!B71="",Datos!B72=""),"",(Datos!B72-Datos!B71)^2)</f>
        <v/>
      </c>
    </row>
    <row r="72">
      <c r="I72">
        <f>IF(OR(Datos!B72="",Datos!B73=""),"",(Datos!B73-Datos!B72)^2)</f>
        <v/>
      </c>
    </row>
    <row r="73">
      <c r="I73">
        <f>IF(OR(Datos!B73="",Datos!B74=""),"",(Datos!B74-Datos!B73)^2)</f>
        <v/>
      </c>
    </row>
    <row r="74">
      <c r="I74">
        <f>IF(OR(Datos!B74="",Datos!B75=""),"",(Datos!B75-Datos!B74)^2)</f>
        <v/>
      </c>
    </row>
    <row r="75">
      <c r="I75">
        <f>IF(OR(Datos!B75="",Datos!B76=""),"",(Datos!B76-Datos!B75)^2)</f>
        <v/>
      </c>
    </row>
    <row r="76">
      <c r="I76">
        <f>IF(OR(Datos!B76="",Datos!B77=""),"",(Datos!B77-Datos!B76)^2)</f>
        <v/>
      </c>
    </row>
    <row r="77">
      <c r="I77">
        <f>IF(OR(Datos!B77="",Datos!B78=""),"",(Datos!B78-Datos!B77)^2)</f>
        <v/>
      </c>
    </row>
    <row r="78">
      <c r="I78">
        <f>IF(OR(Datos!B78="",Datos!B79=""),"",(Datos!B79-Datos!B78)^2)</f>
        <v/>
      </c>
    </row>
    <row r="79">
      <c r="I79">
        <f>IF(OR(Datos!B79="",Datos!B80=""),"",(Datos!B80-Datos!B79)^2)</f>
        <v/>
      </c>
    </row>
    <row r="80">
      <c r="I80">
        <f>IF(OR(Datos!B80="",Datos!B81=""),"",(Datos!B81-Datos!B80)^2)</f>
        <v/>
      </c>
    </row>
    <row r="81">
      <c r="I81">
        <f>IF(OR(Datos!B81="",Datos!B82=""),"",(Datos!B82-Datos!B81)^2)</f>
        <v/>
      </c>
    </row>
    <row r="82">
      <c r="I82">
        <f>IF(OR(Datos!B82="",Datos!B83=""),"",(Datos!B83-Datos!B82)^2)</f>
        <v/>
      </c>
    </row>
    <row r="83">
      <c r="I83">
        <f>IF(OR(Datos!B83="",Datos!B84=""),"",(Datos!B84-Datos!B83)^2)</f>
        <v/>
      </c>
    </row>
    <row r="84">
      <c r="I84">
        <f>IF(OR(Datos!B84="",Datos!B85=""),"",(Datos!B85-Datos!B84)^2)</f>
        <v/>
      </c>
    </row>
    <row r="85">
      <c r="I85">
        <f>IF(OR(Datos!B85="",Datos!B86=""),"",(Datos!B86-Datos!B85)^2)</f>
        <v/>
      </c>
    </row>
    <row r="86">
      <c r="I86">
        <f>IF(OR(Datos!B86="",Datos!B87=""),"",(Datos!B87-Datos!B86)^2)</f>
        <v/>
      </c>
    </row>
    <row r="87">
      <c r="I87">
        <f>IF(OR(Datos!B87="",Datos!B88=""),"",(Datos!B88-Datos!B87)^2)</f>
        <v/>
      </c>
    </row>
    <row r="88">
      <c r="I88">
        <f>IF(OR(Datos!B88="",Datos!B89=""),"",(Datos!B89-Datos!B88)^2)</f>
        <v/>
      </c>
    </row>
    <row r="89">
      <c r="I89">
        <f>IF(OR(Datos!B89="",Datos!B90=""),"",(Datos!B90-Datos!B89)^2)</f>
        <v/>
      </c>
    </row>
    <row r="90">
      <c r="I90">
        <f>IF(OR(Datos!B90="",Datos!B91=""),"",(Datos!B91-Datos!B90)^2)</f>
        <v/>
      </c>
    </row>
    <row r="91">
      <c r="I91">
        <f>IF(OR(Datos!B91="",Datos!B92=""),"",(Datos!B92-Datos!B91)^2)</f>
        <v/>
      </c>
    </row>
    <row r="92">
      <c r="I92">
        <f>IF(OR(Datos!B92="",Datos!B93=""),"",(Datos!B93-Datos!B92)^2)</f>
        <v/>
      </c>
    </row>
    <row r="93">
      <c r="I93">
        <f>IF(OR(Datos!B93="",Datos!B94=""),"",(Datos!B94-Datos!B93)^2)</f>
        <v/>
      </c>
    </row>
    <row r="94">
      <c r="I94">
        <f>IF(OR(Datos!B94="",Datos!B95=""),"",(Datos!B95-Datos!B94)^2)</f>
        <v/>
      </c>
    </row>
    <row r="95">
      <c r="I95">
        <f>IF(OR(Datos!B95="",Datos!B96=""),"",(Datos!B96-Datos!B95)^2)</f>
        <v/>
      </c>
    </row>
    <row r="96">
      <c r="I96">
        <f>IF(OR(Datos!B96="",Datos!B97=""),"",(Datos!B97-Datos!B96)^2)</f>
        <v/>
      </c>
    </row>
    <row r="97">
      <c r="I97">
        <f>IF(OR(Datos!B97="",Datos!B98=""),"",(Datos!B98-Datos!B97)^2)</f>
        <v/>
      </c>
    </row>
    <row r="98">
      <c r="I98">
        <f>IF(OR(Datos!B98="",Datos!B99=""),"",(Datos!B99-Datos!B98)^2)</f>
        <v/>
      </c>
    </row>
    <row r="99">
      <c r="I99">
        <f>IF(OR(Datos!B99="",Datos!B100=""),"",(Datos!B100-Datos!B99)^2)</f>
        <v/>
      </c>
    </row>
    <row r="100">
      <c r="I100">
        <f>IF(OR(Datos!B100="",Datos!B101=""),"",(Datos!B101-Datos!B100)^2)</f>
        <v/>
      </c>
    </row>
    <row r="101">
      <c r="I101">
        <f>IF(OR(Datos!B101="",Datos!B102=""),"",(Datos!B102-Datos!B101)^2)</f>
        <v/>
      </c>
    </row>
    <row r="102">
      <c r="I102">
        <f>IF(OR(Datos!B102="",Datos!B103=""),"",(Datos!B103-Datos!B102)^2)</f>
        <v/>
      </c>
    </row>
    <row r="103">
      <c r="I103">
        <f>IF(OR(Datos!B103="",Datos!B104=""),"",(Datos!B104-Datos!B103)^2)</f>
        <v/>
      </c>
    </row>
    <row r="104">
      <c r="I104">
        <f>IF(OR(Datos!B104="",Datos!B105=""),"",(Datos!B105-Datos!B104)^2)</f>
        <v/>
      </c>
    </row>
    <row r="105">
      <c r="I105">
        <f>IF(OR(Datos!B105="",Datos!B106=""),"",(Datos!B106-Datos!B105)^2)</f>
        <v/>
      </c>
    </row>
    <row r="106">
      <c r="I106">
        <f>IF(OR(Datos!B106="",Datos!B107=""),"",(Datos!B107-Datos!B106)^2)</f>
        <v/>
      </c>
    </row>
    <row r="107">
      <c r="I107">
        <f>IF(OR(Datos!B107="",Datos!B108=""),"",(Datos!B108-Datos!B107)^2)</f>
        <v/>
      </c>
    </row>
    <row r="108">
      <c r="I108">
        <f>IF(OR(Datos!B108="",Datos!B109=""),"",(Datos!B109-Datos!B108)^2)</f>
        <v/>
      </c>
    </row>
    <row r="109">
      <c r="I109">
        <f>IF(OR(Datos!B109="",Datos!B110=""),"",(Datos!B110-Datos!B109)^2)</f>
        <v/>
      </c>
    </row>
    <row r="110">
      <c r="I110">
        <f>IF(OR(Datos!B110="",Datos!B111=""),"",(Datos!B111-Datos!B110)^2)</f>
        <v/>
      </c>
    </row>
    <row r="111">
      <c r="I111">
        <f>IF(OR(Datos!B111="",Datos!B112=""),"",(Datos!B112-Datos!B111)^2)</f>
        <v/>
      </c>
    </row>
    <row r="112">
      <c r="I112">
        <f>IF(OR(Datos!B112="",Datos!B113=""),"",(Datos!B113-Datos!B112)^2)</f>
        <v/>
      </c>
    </row>
    <row r="113">
      <c r="I113">
        <f>IF(OR(Datos!B113="",Datos!B114=""),"",(Datos!B114-Datos!B113)^2)</f>
        <v/>
      </c>
    </row>
    <row r="114">
      <c r="I114">
        <f>IF(OR(Datos!B114="",Datos!B115=""),"",(Datos!B115-Datos!B114)^2)</f>
        <v/>
      </c>
    </row>
    <row r="115">
      <c r="I115">
        <f>IF(OR(Datos!B115="",Datos!B116=""),"",(Datos!B116-Datos!B115)^2)</f>
        <v/>
      </c>
    </row>
    <row r="116">
      <c r="I116">
        <f>IF(OR(Datos!B116="",Datos!B117=""),"",(Datos!B117-Datos!B116)^2)</f>
        <v/>
      </c>
    </row>
    <row r="117">
      <c r="I117">
        <f>IF(OR(Datos!B117="",Datos!B118=""),"",(Datos!B118-Datos!B117)^2)</f>
        <v/>
      </c>
    </row>
    <row r="118">
      <c r="I118">
        <f>IF(OR(Datos!B118="",Datos!B119=""),"",(Datos!B119-Datos!B118)^2)</f>
        <v/>
      </c>
    </row>
    <row r="119">
      <c r="I119">
        <f>IF(OR(Datos!B119="",Datos!B120=""),"",(Datos!B120-Datos!B119)^2)</f>
        <v/>
      </c>
    </row>
    <row r="120">
      <c r="I120">
        <f>IF(OR(Datos!B120="",Datos!B121=""),"",(Datos!B121-Datos!B120)^2)</f>
        <v/>
      </c>
    </row>
    <row r="121">
      <c r="I121">
        <f>IF(OR(Datos!B121="",Datos!B122=""),"",(Datos!B122-Datos!B121)^2)</f>
        <v/>
      </c>
    </row>
    <row r="122">
      <c r="I122">
        <f>IF(OR(Datos!B122="",Datos!B123=""),"",(Datos!B123-Datos!B122)^2)</f>
        <v/>
      </c>
    </row>
    <row r="123">
      <c r="I123">
        <f>IF(OR(Datos!B123="",Datos!B124=""),"",(Datos!B124-Datos!B123)^2)</f>
        <v/>
      </c>
    </row>
    <row r="124">
      <c r="I124">
        <f>IF(OR(Datos!B124="",Datos!B125=""),"",(Datos!B125-Datos!B124)^2)</f>
        <v/>
      </c>
    </row>
    <row r="125">
      <c r="I125">
        <f>IF(OR(Datos!B125="",Datos!B126=""),"",(Datos!B126-Datos!B125)^2)</f>
        <v/>
      </c>
    </row>
    <row r="126">
      <c r="I126">
        <f>IF(OR(Datos!B126="",Datos!B127=""),"",(Datos!B127-Datos!B126)^2)</f>
        <v/>
      </c>
    </row>
    <row r="127">
      <c r="I127">
        <f>IF(OR(Datos!B127="",Datos!B128=""),"",(Datos!B128-Datos!B127)^2)</f>
        <v/>
      </c>
    </row>
    <row r="128">
      <c r="I128">
        <f>IF(OR(Datos!B128="",Datos!B129=""),"",(Datos!B129-Datos!B128)^2)</f>
        <v/>
      </c>
    </row>
    <row r="129">
      <c r="I129">
        <f>IF(OR(Datos!B129="",Datos!B130=""),"",(Datos!B130-Datos!B129)^2)</f>
        <v/>
      </c>
    </row>
    <row r="130">
      <c r="I130">
        <f>IF(OR(Datos!B130="",Datos!B131=""),"",(Datos!B131-Datos!B130)^2)</f>
        <v/>
      </c>
    </row>
    <row r="131">
      <c r="I131">
        <f>IF(OR(Datos!B131="",Datos!B132=""),"",(Datos!B132-Datos!B131)^2)</f>
        <v/>
      </c>
    </row>
    <row r="132">
      <c r="I132">
        <f>IF(OR(Datos!B132="",Datos!B133=""),"",(Datos!B133-Datos!B132)^2)</f>
        <v/>
      </c>
    </row>
    <row r="133">
      <c r="I133">
        <f>IF(OR(Datos!B133="",Datos!B134=""),"",(Datos!B134-Datos!B133)^2)</f>
        <v/>
      </c>
    </row>
    <row r="134">
      <c r="I134">
        <f>IF(OR(Datos!B134="",Datos!B135=""),"",(Datos!B135-Datos!B134)^2)</f>
        <v/>
      </c>
    </row>
    <row r="135">
      <c r="I135">
        <f>IF(OR(Datos!B135="",Datos!B136=""),"",(Datos!B136-Datos!B135)^2)</f>
        <v/>
      </c>
    </row>
    <row r="136">
      <c r="I136">
        <f>IF(OR(Datos!B136="",Datos!B137=""),"",(Datos!B137-Datos!B136)^2)</f>
        <v/>
      </c>
    </row>
    <row r="137">
      <c r="I137">
        <f>IF(OR(Datos!B137="",Datos!B138=""),"",(Datos!B138-Datos!B137)^2)</f>
        <v/>
      </c>
    </row>
    <row r="138">
      <c r="I138">
        <f>IF(OR(Datos!B138="",Datos!B139=""),"",(Datos!B139-Datos!B138)^2)</f>
        <v/>
      </c>
    </row>
    <row r="139">
      <c r="I139">
        <f>IF(OR(Datos!B139="",Datos!B140=""),"",(Datos!B140-Datos!B139)^2)</f>
        <v/>
      </c>
    </row>
    <row r="140">
      <c r="I140">
        <f>IF(OR(Datos!B140="",Datos!B141=""),"",(Datos!B141-Datos!B140)^2)</f>
        <v/>
      </c>
    </row>
    <row r="141">
      <c r="I141">
        <f>IF(OR(Datos!B141="",Datos!B142=""),"",(Datos!B142-Datos!B141)^2)</f>
        <v/>
      </c>
    </row>
    <row r="142">
      <c r="I142">
        <f>IF(OR(Datos!B142="",Datos!B143=""),"",(Datos!B143-Datos!B142)^2)</f>
        <v/>
      </c>
    </row>
    <row r="143">
      <c r="I143">
        <f>IF(OR(Datos!B143="",Datos!B144=""),"",(Datos!B144-Datos!B143)^2)</f>
        <v/>
      </c>
    </row>
    <row r="144">
      <c r="I144">
        <f>IF(OR(Datos!B144="",Datos!B145=""),"",(Datos!B145-Datos!B144)^2)</f>
        <v/>
      </c>
    </row>
    <row r="145">
      <c r="I145">
        <f>IF(OR(Datos!B145="",Datos!B146=""),"",(Datos!B146-Datos!B145)^2)</f>
        <v/>
      </c>
    </row>
    <row r="146">
      <c r="I146">
        <f>IF(OR(Datos!B146="",Datos!B147=""),"",(Datos!B147-Datos!B146)^2)</f>
        <v/>
      </c>
    </row>
    <row r="147">
      <c r="I147">
        <f>IF(OR(Datos!B147="",Datos!B148=""),"",(Datos!B148-Datos!B147)^2)</f>
        <v/>
      </c>
    </row>
    <row r="148">
      <c r="I148">
        <f>IF(OR(Datos!B148="",Datos!B149=""),"",(Datos!B149-Datos!B148)^2)</f>
        <v/>
      </c>
    </row>
    <row r="149">
      <c r="I149">
        <f>IF(OR(Datos!B149="",Datos!B150=""),"",(Datos!B150-Datos!B149)^2)</f>
        <v/>
      </c>
    </row>
    <row r="150">
      <c r="I150">
        <f>IF(OR(Datos!B150="",Datos!B151=""),"",(Datos!B151-Datos!B150)^2)</f>
        <v/>
      </c>
    </row>
    <row r="151">
      <c r="I151">
        <f>IF(OR(Datos!B151="",Datos!B152=""),"",(Datos!B152-Datos!B151)^2)</f>
        <v/>
      </c>
    </row>
    <row r="152">
      <c r="I152">
        <f>IF(OR(Datos!B152="",Datos!B153=""),"",(Datos!B153-Datos!B152)^2)</f>
        <v/>
      </c>
    </row>
    <row r="153">
      <c r="I153">
        <f>IF(OR(Datos!B153="",Datos!B154=""),"",(Datos!B154-Datos!B153)^2)</f>
        <v/>
      </c>
    </row>
    <row r="154">
      <c r="I154">
        <f>IF(OR(Datos!B154="",Datos!B155=""),"",(Datos!B155-Datos!B154)^2)</f>
        <v/>
      </c>
    </row>
    <row r="155">
      <c r="I155">
        <f>IF(OR(Datos!B155="",Datos!B156=""),"",(Datos!B156-Datos!B155)^2)</f>
        <v/>
      </c>
    </row>
    <row r="156">
      <c r="I156">
        <f>IF(OR(Datos!B156="",Datos!B157=""),"",(Datos!B157-Datos!B156)^2)</f>
        <v/>
      </c>
    </row>
    <row r="157">
      <c r="I157">
        <f>IF(OR(Datos!B157="",Datos!B158=""),"",(Datos!B158-Datos!B157)^2)</f>
        <v/>
      </c>
    </row>
    <row r="158">
      <c r="I158">
        <f>IF(OR(Datos!B158="",Datos!B159=""),"",(Datos!B159-Datos!B158)^2)</f>
        <v/>
      </c>
    </row>
    <row r="159">
      <c r="I159">
        <f>IF(OR(Datos!B159="",Datos!B160=""),"",(Datos!B160-Datos!B159)^2)</f>
        <v/>
      </c>
    </row>
    <row r="160">
      <c r="I160">
        <f>IF(OR(Datos!B160="",Datos!B161=""),"",(Datos!B161-Datos!B160)^2)</f>
        <v/>
      </c>
    </row>
    <row r="161">
      <c r="I161">
        <f>IF(OR(Datos!B161="",Datos!B162=""),"",(Datos!B162-Datos!B161)^2)</f>
        <v/>
      </c>
    </row>
    <row r="162">
      <c r="I162">
        <f>IF(OR(Datos!B162="",Datos!B163=""),"",(Datos!B163-Datos!B162)^2)</f>
        <v/>
      </c>
    </row>
    <row r="163">
      <c r="I163">
        <f>IF(OR(Datos!B163="",Datos!B164=""),"",(Datos!B164-Datos!B163)^2)</f>
        <v/>
      </c>
    </row>
    <row r="164">
      <c r="I164">
        <f>IF(OR(Datos!B164="",Datos!B165=""),"",(Datos!B165-Datos!B164)^2)</f>
        <v/>
      </c>
    </row>
    <row r="165">
      <c r="I165">
        <f>IF(OR(Datos!B165="",Datos!B166=""),"",(Datos!B166-Datos!B165)^2)</f>
        <v/>
      </c>
    </row>
    <row r="166">
      <c r="I166">
        <f>IF(OR(Datos!B166="",Datos!B167=""),"",(Datos!B167-Datos!B166)^2)</f>
        <v/>
      </c>
    </row>
    <row r="167">
      <c r="I167">
        <f>IF(OR(Datos!B167="",Datos!B168=""),"",(Datos!B168-Datos!B167)^2)</f>
        <v/>
      </c>
    </row>
    <row r="168">
      <c r="I168">
        <f>IF(OR(Datos!B168="",Datos!B169=""),"",(Datos!B169-Datos!B168)^2)</f>
        <v/>
      </c>
    </row>
    <row r="169">
      <c r="I169">
        <f>IF(OR(Datos!B169="",Datos!B170=""),"",(Datos!B170-Datos!B169)^2)</f>
        <v/>
      </c>
    </row>
    <row r="170">
      <c r="I170">
        <f>IF(OR(Datos!B170="",Datos!B171=""),"",(Datos!B171-Datos!B170)^2)</f>
        <v/>
      </c>
    </row>
    <row r="171">
      <c r="I171">
        <f>IF(OR(Datos!B171="",Datos!B172=""),"",(Datos!B172-Datos!B171)^2)</f>
        <v/>
      </c>
    </row>
    <row r="172">
      <c r="I172">
        <f>IF(OR(Datos!B172="",Datos!B173=""),"",(Datos!B173-Datos!B172)^2)</f>
        <v/>
      </c>
    </row>
    <row r="173">
      <c r="I173">
        <f>IF(OR(Datos!B173="",Datos!B174=""),"",(Datos!B174-Datos!B173)^2)</f>
        <v/>
      </c>
    </row>
    <row r="174">
      <c r="I174">
        <f>IF(OR(Datos!B174="",Datos!B175=""),"",(Datos!B175-Datos!B174)^2)</f>
        <v/>
      </c>
    </row>
    <row r="175">
      <c r="I175">
        <f>IF(OR(Datos!B175="",Datos!B176=""),"",(Datos!B176-Datos!B175)^2)</f>
        <v/>
      </c>
    </row>
    <row r="176">
      <c r="I176">
        <f>IF(OR(Datos!B176="",Datos!B177=""),"",(Datos!B177-Datos!B176)^2)</f>
        <v/>
      </c>
    </row>
    <row r="177">
      <c r="I177">
        <f>IF(OR(Datos!B177="",Datos!B178=""),"",(Datos!B178-Datos!B177)^2)</f>
        <v/>
      </c>
    </row>
    <row r="178">
      <c r="I178">
        <f>IF(OR(Datos!B178="",Datos!B179=""),"",(Datos!B179-Datos!B178)^2)</f>
        <v/>
      </c>
    </row>
    <row r="179">
      <c r="I179">
        <f>IF(OR(Datos!B179="",Datos!B180=""),"",(Datos!B180-Datos!B179)^2)</f>
        <v/>
      </c>
    </row>
    <row r="180">
      <c r="I180">
        <f>IF(OR(Datos!B180="",Datos!B181=""),"",(Datos!B181-Datos!B180)^2)</f>
        <v/>
      </c>
    </row>
    <row r="181">
      <c r="I181">
        <f>IF(OR(Datos!B181="",Datos!B182=""),"",(Datos!B182-Datos!B181)^2)</f>
        <v/>
      </c>
    </row>
    <row r="182">
      <c r="I182">
        <f>IF(OR(Datos!B182="",Datos!B183=""),"",(Datos!B183-Datos!B182)^2)</f>
        <v/>
      </c>
    </row>
    <row r="183">
      <c r="I183">
        <f>IF(OR(Datos!B183="",Datos!B184=""),"",(Datos!B184-Datos!B183)^2)</f>
        <v/>
      </c>
    </row>
    <row r="184">
      <c r="I184">
        <f>IF(OR(Datos!B184="",Datos!B185=""),"",(Datos!B185-Datos!B184)^2)</f>
        <v/>
      </c>
    </row>
    <row r="185">
      <c r="I185">
        <f>IF(OR(Datos!B185="",Datos!B186=""),"",(Datos!B186-Datos!B185)^2)</f>
        <v/>
      </c>
    </row>
    <row r="186">
      <c r="I186">
        <f>IF(OR(Datos!B186="",Datos!B187=""),"",(Datos!B187-Datos!B186)^2)</f>
        <v/>
      </c>
    </row>
    <row r="187">
      <c r="I187">
        <f>IF(OR(Datos!B187="",Datos!B188=""),"",(Datos!B188-Datos!B187)^2)</f>
        <v/>
      </c>
    </row>
    <row r="188">
      <c r="I188">
        <f>IF(OR(Datos!B188="",Datos!B189=""),"",(Datos!B189-Datos!B188)^2)</f>
        <v/>
      </c>
    </row>
    <row r="189">
      <c r="I189">
        <f>IF(OR(Datos!B189="",Datos!B190=""),"",(Datos!B190-Datos!B189)^2)</f>
        <v/>
      </c>
    </row>
    <row r="190">
      <c r="I190">
        <f>IF(OR(Datos!B190="",Datos!B191=""),"",(Datos!B191-Datos!B190)^2)</f>
        <v/>
      </c>
    </row>
    <row r="191">
      <c r="I191">
        <f>IF(OR(Datos!B191="",Datos!B192=""),"",(Datos!B192-Datos!B191)^2)</f>
        <v/>
      </c>
    </row>
    <row r="192">
      <c r="I192">
        <f>IF(OR(Datos!B192="",Datos!B193=""),"",(Datos!B193-Datos!B192)^2)</f>
        <v/>
      </c>
    </row>
    <row r="193">
      <c r="I193">
        <f>IF(OR(Datos!B193="",Datos!B194=""),"",(Datos!B194-Datos!B193)^2)</f>
        <v/>
      </c>
    </row>
    <row r="194">
      <c r="I194">
        <f>IF(OR(Datos!B194="",Datos!B195=""),"",(Datos!B195-Datos!B194)^2)</f>
        <v/>
      </c>
    </row>
    <row r="195">
      <c r="I195">
        <f>IF(OR(Datos!B195="",Datos!B196=""),"",(Datos!B196-Datos!B195)^2)</f>
        <v/>
      </c>
    </row>
    <row r="196">
      <c r="I196">
        <f>IF(OR(Datos!B196="",Datos!B197=""),"",(Datos!B197-Datos!B196)^2)</f>
        <v/>
      </c>
    </row>
    <row r="197">
      <c r="I197">
        <f>IF(OR(Datos!B197="",Datos!B198=""),"",(Datos!B198-Datos!B197)^2)</f>
        <v/>
      </c>
    </row>
    <row r="198">
      <c r="I198">
        <f>IF(OR(Datos!B198="",Datos!B199=""),"",(Datos!B199-Datos!B198)^2)</f>
        <v/>
      </c>
    </row>
    <row r="199">
      <c r="I199">
        <f>IF(OR(Datos!B199="",Datos!B200=""),"",(Datos!B200-Datos!B199)^2)</f>
        <v/>
      </c>
    </row>
    <row r="200">
      <c r="I200">
        <f>IF(OR(Datos!B200="",Datos!B201=""),"",(Datos!B201-Datos!B200)^2)</f>
        <v/>
      </c>
    </row>
    <row r="201">
      <c r="I201">
        <f>IF(OR(Datos!B201="",Datos!B202=""),"",(Datos!B202-Datos!B201)^2)</f>
        <v/>
      </c>
    </row>
    <row r="202">
      <c r="I202">
        <f>IF(OR(Datos!B202="",Datos!B203=""),"",(Datos!B203-Datos!B202)^2)</f>
        <v/>
      </c>
    </row>
    <row r="203">
      <c r="I203">
        <f>IF(OR(Datos!B203="",Datos!B204=""),"",(Datos!B204-Datos!B203)^2)</f>
        <v/>
      </c>
    </row>
    <row r="204">
      <c r="I204">
        <f>IF(OR(Datos!B204="",Datos!B205=""),"",(Datos!B205-Datos!B204)^2)</f>
        <v/>
      </c>
    </row>
    <row r="205">
      <c r="I205">
        <f>IF(OR(Datos!B205="",Datos!B206=""),"",(Datos!B206-Datos!B205)^2)</f>
        <v/>
      </c>
    </row>
    <row r="206">
      <c r="I206">
        <f>IF(OR(Datos!B206="",Datos!B207=""),"",(Datos!B207-Datos!B206)^2)</f>
        <v/>
      </c>
    </row>
    <row r="207">
      <c r="I207">
        <f>IF(OR(Datos!B207="",Datos!B208=""),"",(Datos!B208-Datos!B207)^2)</f>
        <v/>
      </c>
    </row>
    <row r="208">
      <c r="I208">
        <f>IF(OR(Datos!B208="",Datos!B209=""),"",(Datos!B209-Datos!B208)^2)</f>
        <v/>
      </c>
    </row>
    <row r="209">
      <c r="I209">
        <f>IF(OR(Datos!B209="",Datos!B210=""),"",(Datos!B210-Datos!B209)^2)</f>
        <v/>
      </c>
    </row>
    <row r="210">
      <c r="I210">
        <f>IF(OR(Datos!B210="",Datos!B211=""),"",(Datos!B211-Datos!B210)^2)</f>
        <v/>
      </c>
    </row>
    <row r="211">
      <c r="I211">
        <f>IF(OR(Datos!B211="",Datos!B212=""),"",(Datos!B212-Datos!B211)^2)</f>
        <v/>
      </c>
    </row>
    <row r="212">
      <c r="I212">
        <f>IF(OR(Datos!B212="",Datos!B213=""),"",(Datos!B213-Datos!B212)^2)</f>
        <v/>
      </c>
    </row>
    <row r="213">
      <c r="I213">
        <f>IF(OR(Datos!B213="",Datos!B214=""),"",(Datos!B214-Datos!B213)^2)</f>
        <v/>
      </c>
    </row>
    <row r="214">
      <c r="I214">
        <f>IF(OR(Datos!B214="",Datos!B215=""),"",(Datos!B215-Datos!B214)^2)</f>
        <v/>
      </c>
    </row>
    <row r="215">
      <c r="I215">
        <f>IF(OR(Datos!B215="",Datos!B216=""),"",(Datos!B216-Datos!B215)^2)</f>
        <v/>
      </c>
    </row>
    <row r="216">
      <c r="I216">
        <f>IF(OR(Datos!B216="",Datos!B217=""),"",(Datos!B217-Datos!B216)^2)</f>
        <v/>
      </c>
    </row>
    <row r="217">
      <c r="I217">
        <f>IF(OR(Datos!B217="",Datos!B218=""),"",(Datos!B218-Datos!B217)^2)</f>
        <v/>
      </c>
    </row>
    <row r="218">
      <c r="I218">
        <f>IF(OR(Datos!B218="",Datos!B219=""),"",(Datos!B219-Datos!B218)^2)</f>
        <v/>
      </c>
    </row>
    <row r="219">
      <c r="I219">
        <f>IF(OR(Datos!B219="",Datos!B220=""),"",(Datos!B220-Datos!B219)^2)</f>
        <v/>
      </c>
    </row>
    <row r="220">
      <c r="I220">
        <f>IF(OR(Datos!B220="",Datos!B221=""),"",(Datos!B221-Datos!B220)^2)</f>
        <v/>
      </c>
    </row>
    <row r="221">
      <c r="I221">
        <f>IF(OR(Datos!B221="",Datos!B222=""),"",(Datos!B222-Datos!B221)^2)</f>
        <v/>
      </c>
    </row>
    <row r="222">
      <c r="I222">
        <f>IF(OR(Datos!B222="",Datos!B223=""),"",(Datos!B223-Datos!B222)^2)</f>
        <v/>
      </c>
    </row>
    <row r="223">
      <c r="I223">
        <f>IF(OR(Datos!B223="",Datos!B224=""),"",(Datos!B224-Datos!B223)^2)</f>
        <v/>
      </c>
    </row>
    <row r="224">
      <c r="I224">
        <f>IF(OR(Datos!B224="",Datos!B225=""),"",(Datos!B225-Datos!B224)^2)</f>
        <v/>
      </c>
    </row>
    <row r="225">
      <c r="I225">
        <f>IF(OR(Datos!B225="",Datos!B226=""),"",(Datos!B226-Datos!B225)^2)</f>
        <v/>
      </c>
    </row>
    <row r="226">
      <c r="I226">
        <f>IF(OR(Datos!B226="",Datos!B227=""),"",(Datos!B227-Datos!B226)^2)</f>
        <v/>
      </c>
    </row>
    <row r="227">
      <c r="I227">
        <f>IF(OR(Datos!B227="",Datos!B228=""),"",(Datos!B228-Datos!B227)^2)</f>
        <v/>
      </c>
    </row>
    <row r="228">
      <c r="I228">
        <f>IF(OR(Datos!B228="",Datos!B229=""),"",(Datos!B229-Datos!B228)^2)</f>
        <v/>
      </c>
    </row>
    <row r="229">
      <c r="I229">
        <f>IF(OR(Datos!B229="",Datos!B230=""),"",(Datos!B230-Datos!B229)^2)</f>
        <v/>
      </c>
    </row>
    <row r="230">
      <c r="I230">
        <f>IF(OR(Datos!B230="",Datos!B231=""),"",(Datos!B231-Datos!B230)^2)</f>
        <v/>
      </c>
    </row>
    <row r="231">
      <c r="I231">
        <f>IF(OR(Datos!B231="",Datos!B232=""),"",(Datos!B232-Datos!B231)^2)</f>
        <v/>
      </c>
    </row>
    <row r="232">
      <c r="I232">
        <f>IF(OR(Datos!B232="",Datos!B233=""),"",(Datos!B233-Datos!B232)^2)</f>
        <v/>
      </c>
    </row>
    <row r="233">
      <c r="I233">
        <f>IF(OR(Datos!B233="",Datos!B234=""),"",(Datos!B234-Datos!B233)^2)</f>
        <v/>
      </c>
    </row>
    <row r="234">
      <c r="I234">
        <f>IF(OR(Datos!B234="",Datos!B235=""),"",(Datos!B235-Datos!B234)^2)</f>
        <v/>
      </c>
    </row>
    <row r="235">
      <c r="I235">
        <f>IF(OR(Datos!B235="",Datos!B236=""),"",(Datos!B236-Datos!B235)^2)</f>
        <v/>
      </c>
    </row>
    <row r="236">
      <c r="I236">
        <f>IF(OR(Datos!B236="",Datos!B237=""),"",(Datos!B237-Datos!B236)^2)</f>
        <v/>
      </c>
    </row>
    <row r="237">
      <c r="I237">
        <f>IF(OR(Datos!B237="",Datos!B238=""),"",(Datos!B238-Datos!B237)^2)</f>
        <v/>
      </c>
    </row>
    <row r="238">
      <c r="I238">
        <f>IF(OR(Datos!B238="",Datos!B239=""),"",(Datos!B239-Datos!B238)^2)</f>
        <v/>
      </c>
    </row>
    <row r="239">
      <c r="I239">
        <f>IF(OR(Datos!B239="",Datos!B240=""),"",(Datos!B240-Datos!B239)^2)</f>
        <v/>
      </c>
    </row>
    <row r="240">
      <c r="I240">
        <f>IF(OR(Datos!B240="",Datos!B241=""),"",(Datos!B241-Datos!B240)^2)</f>
        <v/>
      </c>
    </row>
    <row r="241">
      <c r="I241">
        <f>IF(OR(Datos!B241="",Datos!B242=""),"",(Datos!B242-Datos!B241)^2)</f>
        <v/>
      </c>
    </row>
    <row r="242">
      <c r="I242">
        <f>IF(OR(Datos!B242="",Datos!B243=""),"",(Datos!B243-Datos!B242)^2)</f>
        <v/>
      </c>
    </row>
    <row r="243">
      <c r="I243">
        <f>IF(OR(Datos!B243="",Datos!B244=""),"",(Datos!B244-Datos!B243)^2)</f>
        <v/>
      </c>
    </row>
    <row r="244">
      <c r="I244">
        <f>IF(OR(Datos!B244="",Datos!B245=""),"",(Datos!B245-Datos!B244)^2)</f>
        <v/>
      </c>
    </row>
    <row r="245">
      <c r="I245">
        <f>IF(OR(Datos!B245="",Datos!B246=""),"",(Datos!B246-Datos!B245)^2)</f>
        <v/>
      </c>
    </row>
    <row r="246">
      <c r="I246">
        <f>IF(OR(Datos!B246="",Datos!B247=""),"",(Datos!B247-Datos!B246)^2)</f>
        <v/>
      </c>
    </row>
    <row r="247">
      <c r="I247">
        <f>IF(OR(Datos!B247="",Datos!B248=""),"",(Datos!B248-Datos!B247)^2)</f>
        <v/>
      </c>
    </row>
    <row r="248">
      <c r="I248">
        <f>IF(OR(Datos!B248="",Datos!B249=""),"",(Datos!B249-Datos!B248)^2)</f>
        <v/>
      </c>
    </row>
    <row r="249">
      <c r="I249">
        <f>IF(OR(Datos!B249="",Datos!B250=""),"",(Datos!B250-Datos!B249)^2)</f>
        <v/>
      </c>
    </row>
    <row r="250">
      <c r="I250">
        <f>IF(OR(Datos!B250="",Datos!B251=""),"",(Datos!B251-Datos!B250)^2)</f>
        <v/>
      </c>
    </row>
    <row r="251">
      <c r="I251">
        <f>IF(OR(Datos!B251="",Datos!B252=""),"",(Datos!B252-Datos!B251)^2)</f>
        <v/>
      </c>
    </row>
    <row r="252">
      <c r="I252">
        <f>IF(OR(Datos!B252="",Datos!B253=""),"",(Datos!B253-Datos!B252)^2)</f>
        <v/>
      </c>
    </row>
    <row r="253">
      <c r="I253">
        <f>IF(OR(Datos!B253="",Datos!B254=""),"",(Datos!B254-Datos!B253)^2)</f>
        <v/>
      </c>
    </row>
    <row r="254">
      <c r="I254">
        <f>IF(OR(Datos!B254="",Datos!B255=""),"",(Datos!B255-Datos!B254)^2)</f>
        <v/>
      </c>
    </row>
    <row r="255">
      <c r="I255">
        <f>IF(OR(Datos!B255="",Datos!B256=""),"",(Datos!B256-Datos!B255)^2)</f>
        <v/>
      </c>
    </row>
    <row r="256">
      <c r="I256">
        <f>IF(OR(Datos!B256="",Datos!B257=""),"",(Datos!B257-Datos!B256)^2)</f>
        <v/>
      </c>
    </row>
    <row r="257">
      <c r="I257">
        <f>IF(OR(Datos!B257="",Datos!B258=""),"",(Datos!B258-Datos!B257)^2)</f>
        <v/>
      </c>
    </row>
    <row r="258">
      <c r="I258">
        <f>IF(OR(Datos!B258="",Datos!B259=""),"",(Datos!B259-Datos!B258)^2)</f>
        <v/>
      </c>
    </row>
    <row r="259">
      <c r="I259">
        <f>IF(OR(Datos!B259="",Datos!B260=""),"",(Datos!B260-Datos!B259)^2)</f>
        <v/>
      </c>
    </row>
    <row r="260">
      <c r="I260">
        <f>IF(OR(Datos!B260="",Datos!B261=""),"",(Datos!B261-Datos!B260)^2)</f>
        <v/>
      </c>
    </row>
    <row r="261">
      <c r="I261">
        <f>IF(OR(Datos!B261="",Datos!B262=""),"",(Datos!B262-Datos!B261)^2)</f>
        <v/>
      </c>
    </row>
    <row r="262">
      <c r="I262">
        <f>IF(OR(Datos!B262="",Datos!B263=""),"",(Datos!B263-Datos!B262)^2)</f>
        <v/>
      </c>
    </row>
    <row r="263">
      <c r="I263">
        <f>IF(OR(Datos!B263="",Datos!B264=""),"",(Datos!B264-Datos!B263)^2)</f>
        <v/>
      </c>
    </row>
    <row r="264">
      <c r="I264">
        <f>IF(OR(Datos!B264="",Datos!B265=""),"",(Datos!B265-Datos!B264)^2)</f>
        <v/>
      </c>
    </row>
    <row r="265">
      <c r="I265">
        <f>IF(OR(Datos!B265="",Datos!B266=""),"",(Datos!B266-Datos!B265)^2)</f>
        <v/>
      </c>
    </row>
    <row r="266">
      <c r="I266">
        <f>IF(OR(Datos!B266="",Datos!B267=""),"",(Datos!B267-Datos!B266)^2)</f>
        <v/>
      </c>
    </row>
    <row r="267">
      <c r="I267">
        <f>IF(OR(Datos!B267="",Datos!B268=""),"",(Datos!B268-Datos!B267)^2)</f>
        <v/>
      </c>
    </row>
    <row r="268">
      <c r="I268">
        <f>IF(OR(Datos!B268="",Datos!B269=""),"",(Datos!B269-Datos!B268)^2)</f>
        <v/>
      </c>
    </row>
    <row r="269">
      <c r="I269">
        <f>IF(OR(Datos!B269="",Datos!B270=""),"",(Datos!B270-Datos!B269)^2)</f>
        <v/>
      </c>
    </row>
    <row r="270">
      <c r="I270">
        <f>IF(OR(Datos!B270="",Datos!B271=""),"",(Datos!B271-Datos!B270)^2)</f>
        <v/>
      </c>
    </row>
    <row r="271">
      <c r="I271">
        <f>IF(OR(Datos!B271="",Datos!B272=""),"",(Datos!B272-Datos!B271)^2)</f>
        <v/>
      </c>
    </row>
    <row r="272">
      <c r="I272">
        <f>IF(OR(Datos!B272="",Datos!B273=""),"",(Datos!B273-Datos!B272)^2)</f>
        <v/>
      </c>
    </row>
    <row r="273">
      <c r="I273">
        <f>IF(OR(Datos!B273="",Datos!B274=""),"",(Datos!B274-Datos!B273)^2)</f>
        <v/>
      </c>
    </row>
    <row r="274">
      <c r="I274">
        <f>IF(OR(Datos!B274="",Datos!B275=""),"",(Datos!B275-Datos!B274)^2)</f>
        <v/>
      </c>
    </row>
    <row r="275">
      <c r="I275">
        <f>IF(OR(Datos!B275="",Datos!B276=""),"",(Datos!B276-Datos!B275)^2)</f>
        <v/>
      </c>
    </row>
    <row r="276">
      <c r="I276">
        <f>IF(OR(Datos!B276="",Datos!B277=""),"",(Datos!B277-Datos!B276)^2)</f>
        <v/>
      </c>
    </row>
    <row r="277">
      <c r="I277">
        <f>IF(OR(Datos!B277="",Datos!B278=""),"",(Datos!B278-Datos!B277)^2)</f>
        <v/>
      </c>
    </row>
    <row r="278">
      <c r="I278">
        <f>IF(OR(Datos!B278="",Datos!B279=""),"",(Datos!B279-Datos!B278)^2)</f>
        <v/>
      </c>
    </row>
    <row r="279">
      <c r="I279">
        <f>IF(OR(Datos!B279="",Datos!B280=""),"",(Datos!B280-Datos!B279)^2)</f>
        <v/>
      </c>
    </row>
    <row r="280">
      <c r="I280">
        <f>IF(OR(Datos!B280="",Datos!B281=""),"",(Datos!B281-Datos!B280)^2)</f>
        <v/>
      </c>
    </row>
    <row r="281">
      <c r="I281">
        <f>IF(OR(Datos!B281="",Datos!B282=""),"",(Datos!B282-Datos!B281)^2)</f>
        <v/>
      </c>
    </row>
    <row r="282">
      <c r="I282">
        <f>IF(OR(Datos!B282="",Datos!B283=""),"",(Datos!B283-Datos!B282)^2)</f>
        <v/>
      </c>
    </row>
    <row r="283">
      <c r="I283">
        <f>IF(OR(Datos!B283="",Datos!B284=""),"",(Datos!B284-Datos!B283)^2)</f>
        <v/>
      </c>
    </row>
    <row r="284">
      <c r="I284">
        <f>IF(OR(Datos!B284="",Datos!B285=""),"",(Datos!B285-Datos!B284)^2)</f>
        <v/>
      </c>
    </row>
    <row r="285">
      <c r="I285">
        <f>IF(OR(Datos!B285="",Datos!B286=""),"",(Datos!B286-Datos!B285)^2)</f>
        <v/>
      </c>
    </row>
    <row r="286">
      <c r="I286">
        <f>IF(OR(Datos!B286="",Datos!B287=""),"",(Datos!B287-Datos!B286)^2)</f>
        <v/>
      </c>
    </row>
    <row r="287">
      <c r="I287">
        <f>IF(OR(Datos!B287="",Datos!B288=""),"",(Datos!B288-Datos!B287)^2)</f>
        <v/>
      </c>
    </row>
    <row r="288">
      <c r="I288">
        <f>IF(OR(Datos!B288="",Datos!B289=""),"",(Datos!B289-Datos!B288)^2)</f>
        <v/>
      </c>
    </row>
    <row r="289">
      <c r="I289">
        <f>IF(OR(Datos!B289="",Datos!B290=""),"",(Datos!B290-Datos!B289)^2)</f>
        <v/>
      </c>
    </row>
    <row r="290">
      <c r="I290">
        <f>IF(OR(Datos!B290="",Datos!B291=""),"",(Datos!B291-Datos!B290)^2)</f>
        <v/>
      </c>
    </row>
    <row r="291">
      <c r="I291">
        <f>IF(OR(Datos!B291="",Datos!B292=""),"",(Datos!B292-Datos!B291)^2)</f>
        <v/>
      </c>
    </row>
    <row r="292">
      <c r="I292">
        <f>IF(OR(Datos!B292="",Datos!B293=""),"",(Datos!B293-Datos!B292)^2)</f>
        <v/>
      </c>
    </row>
    <row r="293">
      <c r="I293">
        <f>IF(OR(Datos!B293="",Datos!B294=""),"",(Datos!B294-Datos!B293)^2)</f>
        <v/>
      </c>
    </row>
    <row r="294">
      <c r="I294">
        <f>IF(OR(Datos!B294="",Datos!B295=""),"",(Datos!B295-Datos!B294)^2)</f>
        <v/>
      </c>
    </row>
    <row r="295">
      <c r="I295">
        <f>IF(OR(Datos!B295="",Datos!B296=""),"",(Datos!B296-Datos!B295)^2)</f>
        <v/>
      </c>
    </row>
    <row r="296">
      <c r="I296">
        <f>IF(OR(Datos!B296="",Datos!B297=""),"",(Datos!B297-Datos!B296)^2)</f>
        <v/>
      </c>
    </row>
    <row r="297">
      <c r="I297">
        <f>IF(OR(Datos!B297="",Datos!B298=""),"",(Datos!B298-Datos!B297)^2)</f>
        <v/>
      </c>
    </row>
    <row r="298">
      <c r="I298">
        <f>IF(OR(Datos!B298="",Datos!B299=""),"",(Datos!B299-Datos!B298)^2)</f>
        <v/>
      </c>
    </row>
    <row r="299">
      <c r="I299">
        <f>IF(OR(Datos!B299="",Datos!B300=""),"",(Datos!B300-Datos!B299)^2)</f>
        <v/>
      </c>
    </row>
    <row r="300">
      <c r="I300">
        <f>IF(OR(Datos!B300="",Datos!B301=""),"",(Datos!B301-Datos!B300)^2)</f>
        <v/>
      </c>
    </row>
    <row r="301">
      <c r="I301">
        <f>IF(OR(Datos!B301="",Datos!B302=""),"",(Datos!B302-Datos!B301)^2)</f>
        <v/>
      </c>
    </row>
    <row r="302">
      <c r="I302">
        <f>IF(OR(Datos!B302="",Datos!B303=""),"",(Datos!B303-Datos!B302)^2)</f>
        <v/>
      </c>
    </row>
    <row r="303">
      <c r="I303">
        <f>IF(OR(Datos!B303="",Datos!B304=""),"",(Datos!B304-Datos!B303)^2)</f>
        <v/>
      </c>
    </row>
    <row r="304">
      <c r="I304">
        <f>IF(OR(Datos!B304="",Datos!B305=""),"",(Datos!B305-Datos!B304)^2)</f>
        <v/>
      </c>
    </row>
    <row r="305">
      <c r="I305">
        <f>IF(OR(Datos!B305="",Datos!B306=""),"",(Datos!B306-Datos!B305)^2)</f>
        <v/>
      </c>
    </row>
    <row r="306">
      <c r="I306">
        <f>IF(OR(Datos!B306="",Datos!B307=""),"",(Datos!B307-Datos!B306)^2)</f>
        <v/>
      </c>
    </row>
    <row r="307">
      <c r="I307">
        <f>IF(OR(Datos!B307="",Datos!B308=""),"",(Datos!B308-Datos!B307)^2)</f>
        <v/>
      </c>
    </row>
    <row r="308">
      <c r="I308">
        <f>IF(OR(Datos!B308="",Datos!B309=""),"",(Datos!B309-Datos!B308)^2)</f>
        <v/>
      </c>
    </row>
    <row r="309">
      <c r="I309">
        <f>IF(OR(Datos!B309="",Datos!B310=""),"",(Datos!B310-Datos!B309)^2)</f>
        <v/>
      </c>
    </row>
    <row r="310">
      <c r="I310">
        <f>IF(OR(Datos!B310="",Datos!B311=""),"",(Datos!B311-Datos!B310)^2)</f>
        <v/>
      </c>
    </row>
    <row r="311">
      <c r="I311">
        <f>IF(OR(Datos!B311="",Datos!B312=""),"",(Datos!B312-Datos!B311)^2)</f>
        <v/>
      </c>
    </row>
    <row r="312">
      <c r="I312">
        <f>IF(OR(Datos!B312="",Datos!B313=""),"",(Datos!B313-Datos!B312)^2)</f>
        <v/>
      </c>
    </row>
    <row r="313">
      <c r="I313">
        <f>IF(OR(Datos!B313="",Datos!B314=""),"",(Datos!B314-Datos!B313)^2)</f>
        <v/>
      </c>
    </row>
    <row r="314">
      <c r="I314">
        <f>IF(OR(Datos!B314="",Datos!B315=""),"",(Datos!B315-Datos!B314)^2)</f>
        <v/>
      </c>
    </row>
    <row r="315">
      <c r="I315">
        <f>IF(OR(Datos!B315="",Datos!B316=""),"",(Datos!B316-Datos!B315)^2)</f>
        <v/>
      </c>
    </row>
    <row r="316">
      <c r="I316">
        <f>IF(OR(Datos!B316="",Datos!B317=""),"",(Datos!B317-Datos!B316)^2)</f>
        <v/>
      </c>
    </row>
    <row r="317">
      <c r="I317">
        <f>IF(OR(Datos!B317="",Datos!B318=""),"",(Datos!B318-Datos!B317)^2)</f>
        <v/>
      </c>
    </row>
    <row r="318">
      <c r="I318">
        <f>IF(OR(Datos!B318="",Datos!B319=""),"",(Datos!B319-Datos!B318)^2)</f>
        <v/>
      </c>
    </row>
    <row r="319">
      <c r="I319">
        <f>IF(OR(Datos!B319="",Datos!B320=""),"",(Datos!B320-Datos!B319)^2)</f>
        <v/>
      </c>
    </row>
    <row r="320">
      <c r="I320">
        <f>IF(OR(Datos!B320="",Datos!B321=""),"",(Datos!B321-Datos!B320)^2)</f>
        <v/>
      </c>
    </row>
    <row r="321">
      <c r="I321">
        <f>IF(OR(Datos!B321="",Datos!B322=""),"",(Datos!B322-Datos!B321)^2)</f>
        <v/>
      </c>
    </row>
    <row r="322">
      <c r="I322">
        <f>IF(OR(Datos!B322="",Datos!B323=""),"",(Datos!B323-Datos!B322)^2)</f>
        <v/>
      </c>
    </row>
    <row r="323">
      <c r="I323">
        <f>IF(OR(Datos!B323="",Datos!B324=""),"",(Datos!B324-Datos!B323)^2)</f>
        <v/>
      </c>
    </row>
    <row r="324">
      <c r="I324">
        <f>IF(OR(Datos!B324="",Datos!B325=""),"",(Datos!B325-Datos!B324)^2)</f>
        <v/>
      </c>
    </row>
    <row r="325">
      <c r="I325">
        <f>IF(OR(Datos!B325="",Datos!B326=""),"",(Datos!B326-Datos!B325)^2)</f>
        <v/>
      </c>
    </row>
    <row r="326">
      <c r="I326">
        <f>IF(OR(Datos!B326="",Datos!B327=""),"",(Datos!B327-Datos!B326)^2)</f>
        <v/>
      </c>
    </row>
    <row r="327">
      <c r="I327">
        <f>IF(OR(Datos!B327="",Datos!B328=""),"",(Datos!B328-Datos!B327)^2)</f>
        <v/>
      </c>
    </row>
    <row r="328">
      <c r="I328">
        <f>IF(OR(Datos!B328="",Datos!B329=""),"",(Datos!B329-Datos!B328)^2)</f>
        <v/>
      </c>
    </row>
    <row r="329">
      <c r="I329">
        <f>IF(OR(Datos!B329="",Datos!B330=""),"",(Datos!B330-Datos!B329)^2)</f>
        <v/>
      </c>
    </row>
    <row r="330">
      <c r="I330">
        <f>IF(OR(Datos!B330="",Datos!B331=""),"",(Datos!B331-Datos!B330)^2)</f>
        <v/>
      </c>
    </row>
    <row r="331">
      <c r="I331">
        <f>IF(OR(Datos!B331="",Datos!B332=""),"",(Datos!B332-Datos!B331)^2)</f>
        <v/>
      </c>
    </row>
    <row r="332">
      <c r="I332">
        <f>IF(OR(Datos!B332="",Datos!B333=""),"",(Datos!B333-Datos!B332)^2)</f>
        <v/>
      </c>
    </row>
    <row r="333">
      <c r="I333">
        <f>IF(OR(Datos!B333="",Datos!B334=""),"",(Datos!B334-Datos!B333)^2)</f>
        <v/>
      </c>
    </row>
    <row r="334">
      <c r="I334">
        <f>IF(OR(Datos!B334="",Datos!B335=""),"",(Datos!B335-Datos!B334)^2)</f>
        <v/>
      </c>
    </row>
    <row r="335">
      <c r="I335">
        <f>IF(OR(Datos!B335="",Datos!B336=""),"",(Datos!B336-Datos!B335)^2)</f>
        <v/>
      </c>
    </row>
    <row r="336">
      <c r="I336">
        <f>IF(OR(Datos!B336="",Datos!B337=""),"",(Datos!B337-Datos!B336)^2)</f>
        <v/>
      </c>
    </row>
    <row r="337">
      <c r="I337">
        <f>IF(OR(Datos!B337="",Datos!B338=""),"",(Datos!B338-Datos!B337)^2)</f>
        <v/>
      </c>
    </row>
    <row r="338">
      <c r="I338">
        <f>IF(OR(Datos!B338="",Datos!B339=""),"",(Datos!B339-Datos!B338)^2)</f>
        <v/>
      </c>
    </row>
    <row r="339">
      <c r="I339">
        <f>IF(OR(Datos!B339="",Datos!B340=""),"",(Datos!B340-Datos!B339)^2)</f>
        <v/>
      </c>
    </row>
    <row r="340">
      <c r="I340">
        <f>IF(OR(Datos!B340="",Datos!B341=""),"",(Datos!B341-Datos!B340)^2)</f>
        <v/>
      </c>
    </row>
    <row r="341">
      <c r="I341">
        <f>IF(OR(Datos!B341="",Datos!B342=""),"",(Datos!B342-Datos!B341)^2)</f>
        <v/>
      </c>
    </row>
    <row r="342">
      <c r="I342">
        <f>IF(OR(Datos!B342="",Datos!B343=""),"",(Datos!B343-Datos!B342)^2)</f>
        <v/>
      </c>
    </row>
    <row r="343">
      <c r="I343">
        <f>IF(OR(Datos!B343="",Datos!B344=""),"",(Datos!B344-Datos!B343)^2)</f>
        <v/>
      </c>
    </row>
    <row r="344">
      <c r="I344">
        <f>IF(OR(Datos!B344="",Datos!B345=""),"",(Datos!B345-Datos!B344)^2)</f>
        <v/>
      </c>
    </row>
    <row r="345">
      <c r="I345">
        <f>IF(OR(Datos!B345="",Datos!B346=""),"",(Datos!B346-Datos!B345)^2)</f>
        <v/>
      </c>
    </row>
    <row r="346">
      <c r="I346">
        <f>IF(OR(Datos!B346="",Datos!B347=""),"",(Datos!B347-Datos!B346)^2)</f>
        <v/>
      </c>
    </row>
    <row r="347">
      <c r="I347">
        <f>IF(OR(Datos!B347="",Datos!B348=""),"",(Datos!B348-Datos!B347)^2)</f>
        <v/>
      </c>
    </row>
    <row r="348">
      <c r="I348">
        <f>IF(OR(Datos!B348="",Datos!B349=""),"",(Datos!B349-Datos!B348)^2)</f>
        <v/>
      </c>
    </row>
    <row r="349">
      <c r="I349">
        <f>IF(OR(Datos!B349="",Datos!B350=""),"",(Datos!B350-Datos!B349)^2)</f>
        <v/>
      </c>
    </row>
    <row r="350">
      <c r="I350">
        <f>IF(OR(Datos!B350="",Datos!B351=""),"",(Datos!B351-Datos!B350)^2)</f>
        <v/>
      </c>
    </row>
    <row r="351">
      <c r="I351">
        <f>IF(OR(Datos!B351="",Datos!B352=""),"",(Datos!B352-Datos!B351)^2)</f>
        <v/>
      </c>
    </row>
    <row r="352">
      <c r="I352">
        <f>IF(OR(Datos!B352="",Datos!B353=""),"",(Datos!B353-Datos!B352)^2)</f>
        <v/>
      </c>
    </row>
    <row r="353">
      <c r="I353">
        <f>IF(OR(Datos!B353="",Datos!B354=""),"",(Datos!B354-Datos!B353)^2)</f>
        <v/>
      </c>
    </row>
    <row r="354">
      <c r="I354">
        <f>IF(OR(Datos!B354="",Datos!B355=""),"",(Datos!B355-Datos!B354)^2)</f>
        <v/>
      </c>
    </row>
    <row r="355">
      <c r="I355">
        <f>IF(OR(Datos!B355="",Datos!B356=""),"",(Datos!B356-Datos!B355)^2)</f>
        <v/>
      </c>
    </row>
    <row r="356">
      <c r="I356">
        <f>IF(OR(Datos!B356="",Datos!B357=""),"",(Datos!B357-Datos!B356)^2)</f>
        <v/>
      </c>
    </row>
    <row r="357">
      <c r="I357">
        <f>IF(OR(Datos!B357="",Datos!B358=""),"",(Datos!B358-Datos!B357)^2)</f>
        <v/>
      </c>
    </row>
    <row r="358">
      <c r="I358">
        <f>IF(OR(Datos!B358="",Datos!B359=""),"",(Datos!B359-Datos!B358)^2)</f>
        <v/>
      </c>
    </row>
    <row r="359">
      <c r="I359">
        <f>IF(OR(Datos!B359="",Datos!B360=""),"",(Datos!B360-Datos!B359)^2)</f>
        <v/>
      </c>
    </row>
    <row r="360">
      <c r="I360">
        <f>IF(OR(Datos!B360="",Datos!B361=""),"",(Datos!B361-Datos!B360)^2)</f>
        <v/>
      </c>
    </row>
    <row r="361">
      <c r="I361">
        <f>IF(OR(Datos!B361="",Datos!B362=""),"",(Datos!B362-Datos!B361)^2)</f>
        <v/>
      </c>
    </row>
    <row r="362">
      <c r="I362">
        <f>IF(OR(Datos!B362="",Datos!B363=""),"",(Datos!B363-Datos!B362)^2)</f>
        <v/>
      </c>
    </row>
    <row r="363">
      <c r="I363">
        <f>IF(OR(Datos!B363="",Datos!B364=""),"",(Datos!B364-Datos!B363)^2)</f>
        <v/>
      </c>
    </row>
    <row r="364">
      <c r="I364">
        <f>IF(OR(Datos!B364="",Datos!B365=""),"",(Datos!B365-Datos!B364)^2)</f>
        <v/>
      </c>
    </row>
    <row r="365">
      <c r="I365">
        <f>IF(OR(Datos!B365="",Datos!B366=""),"",(Datos!B366-Datos!B365)^2)</f>
        <v/>
      </c>
    </row>
    <row r="366">
      <c r="I366">
        <f>IF(OR(Datos!B366="",Datos!B367=""),"",(Datos!B367-Datos!B366)^2)</f>
        <v/>
      </c>
    </row>
    <row r="367">
      <c r="I367">
        <f>IF(OR(Datos!B367="",Datos!B368=""),"",(Datos!B368-Datos!B367)^2)</f>
        <v/>
      </c>
    </row>
    <row r="368">
      <c r="I368">
        <f>IF(OR(Datos!B368="",Datos!B369=""),"",(Datos!B369-Datos!B368)^2)</f>
        <v/>
      </c>
    </row>
    <row r="369">
      <c r="I369">
        <f>IF(OR(Datos!B369="",Datos!B370=""),"",(Datos!B370-Datos!B369)^2)</f>
        <v/>
      </c>
    </row>
    <row r="370">
      <c r="I370">
        <f>IF(OR(Datos!B370="",Datos!B371=""),"",(Datos!B371-Datos!B370)^2)</f>
        <v/>
      </c>
    </row>
    <row r="371">
      <c r="I371">
        <f>IF(OR(Datos!B371="",Datos!B372=""),"",(Datos!B372-Datos!B371)^2)</f>
        <v/>
      </c>
    </row>
    <row r="372">
      <c r="I372">
        <f>IF(OR(Datos!B372="",Datos!B373=""),"",(Datos!B373-Datos!B372)^2)</f>
        <v/>
      </c>
    </row>
    <row r="373">
      <c r="I373">
        <f>IF(OR(Datos!B373="",Datos!B374=""),"",(Datos!B374-Datos!B373)^2)</f>
        <v/>
      </c>
    </row>
    <row r="374">
      <c r="I374">
        <f>IF(OR(Datos!B374="",Datos!B375=""),"",(Datos!B375-Datos!B374)^2)</f>
        <v/>
      </c>
    </row>
    <row r="375">
      <c r="I375">
        <f>IF(OR(Datos!B375="",Datos!B376=""),"",(Datos!B376-Datos!B375)^2)</f>
        <v/>
      </c>
    </row>
    <row r="376">
      <c r="I376">
        <f>IF(OR(Datos!B376="",Datos!B377=""),"",(Datos!B377-Datos!B376)^2)</f>
        <v/>
      </c>
    </row>
    <row r="377">
      <c r="I377">
        <f>IF(OR(Datos!B377="",Datos!B378=""),"",(Datos!B378-Datos!B377)^2)</f>
        <v/>
      </c>
    </row>
    <row r="378">
      <c r="I378">
        <f>IF(OR(Datos!B378="",Datos!B379=""),"",(Datos!B379-Datos!B378)^2)</f>
        <v/>
      </c>
    </row>
    <row r="379">
      <c r="I379">
        <f>IF(OR(Datos!B379="",Datos!B380=""),"",(Datos!B380-Datos!B379)^2)</f>
        <v/>
      </c>
    </row>
    <row r="380">
      <c r="I380">
        <f>IF(OR(Datos!B380="",Datos!B381=""),"",(Datos!B381-Datos!B380)^2)</f>
        <v/>
      </c>
    </row>
    <row r="381">
      <c r="I381">
        <f>IF(OR(Datos!B381="",Datos!B382=""),"",(Datos!B382-Datos!B381)^2)</f>
        <v/>
      </c>
    </row>
    <row r="382">
      <c r="I382">
        <f>IF(OR(Datos!B382="",Datos!B383=""),"",(Datos!B383-Datos!B382)^2)</f>
        <v/>
      </c>
    </row>
    <row r="383">
      <c r="I383">
        <f>IF(OR(Datos!B383="",Datos!B384=""),"",(Datos!B384-Datos!B383)^2)</f>
        <v/>
      </c>
    </row>
    <row r="384">
      <c r="I384">
        <f>IF(OR(Datos!B384="",Datos!B385=""),"",(Datos!B385-Datos!B384)^2)</f>
        <v/>
      </c>
    </row>
    <row r="385">
      <c r="I385">
        <f>IF(OR(Datos!B385="",Datos!B386=""),"",(Datos!B386-Datos!B385)^2)</f>
        <v/>
      </c>
    </row>
    <row r="386">
      <c r="I386">
        <f>IF(OR(Datos!B386="",Datos!B387=""),"",(Datos!B387-Datos!B386)^2)</f>
        <v/>
      </c>
    </row>
    <row r="387">
      <c r="I387">
        <f>IF(OR(Datos!B387="",Datos!B388=""),"",(Datos!B388-Datos!B387)^2)</f>
        <v/>
      </c>
    </row>
    <row r="388">
      <c r="I388">
        <f>IF(OR(Datos!B388="",Datos!B389=""),"",(Datos!B389-Datos!B388)^2)</f>
        <v/>
      </c>
    </row>
    <row r="389">
      <c r="I389">
        <f>IF(OR(Datos!B389="",Datos!B390=""),"",(Datos!B390-Datos!B389)^2)</f>
        <v/>
      </c>
    </row>
    <row r="390">
      <c r="I390">
        <f>IF(OR(Datos!B390="",Datos!B391=""),"",(Datos!B391-Datos!B390)^2)</f>
        <v/>
      </c>
    </row>
    <row r="391">
      <c r="I391">
        <f>IF(OR(Datos!B391="",Datos!B392=""),"",(Datos!B392-Datos!B391)^2)</f>
        <v/>
      </c>
    </row>
    <row r="392">
      <c r="I392">
        <f>IF(OR(Datos!B392="",Datos!B393=""),"",(Datos!B393-Datos!B392)^2)</f>
        <v/>
      </c>
    </row>
    <row r="393">
      <c r="I393">
        <f>IF(OR(Datos!B393="",Datos!B394=""),"",(Datos!B394-Datos!B393)^2)</f>
        <v/>
      </c>
    </row>
    <row r="394">
      <c r="I394">
        <f>IF(OR(Datos!B394="",Datos!B395=""),"",(Datos!B395-Datos!B394)^2)</f>
        <v/>
      </c>
    </row>
    <row r="395">
      <c r="I395">
        <f>IF(OR(Datos!B395="",Datos!B396=""),"",(Datos!B396-Datos!B395)^2)</f>
        <v/>
      </c>
    </row>
    <row r="396">
      <c r="I396">
        <f>IF(OR(Datos!B396="",Datos!B397=""),"",(Datos!B397-Datos!B396)^2)</f>
        <v/>
      </c>
    </row>
    <row r="397">
      <c r="I397">
        <f>IF(OR(Datos!B397="",Datos!B398=""),"",(Datos!B398-Datos!B397)^2)</f>
        <v/>
      </c>
    </row>
    <row r="398">
      <c r="I398">
        <f>IF(OR(Datos!B398="",Datos!B399=""),"",(Datos!B399-Datos!B398)^2)</f>
        <v/>
      </c>
    </row>
    <row r="399">
      <c r="I399">
        <f>IF(OR(Datos!B399="",Datos!B400=""),"",(Datos!B400-Datos!B399)^2)</f>
        <v/>
      </c>
    </row>
    <row r="400">
      <c r="I400">
        <f>IF(OR(Datos!B400="",Datos!B401=""),"",(Datos!B401-Datos!B400)^2)</f>
        <v/>
      </c>
    </row>
    <row r="401">
      <c r="I401">
        <f>IF(OR(Datos!B401="",Datos!B402=""),"",(Datos!B402-Datos!B401)^2)</f>
        <v/>
      </c>
    </row>
    <row r="402">
      <c r="I402">
        <f>IF(OR(Datos!B402="",Datos!B403=""),"",(Datos!B403-Datos!B402)^2)</f>
        <v/>
      </c>
    </row>
    <row r="403">
      <c r="I403">
        <f>IF(OR(Datos!B403="",Datos!B404=""),"",(Datos!B404-Datos!B403)^2)</f>
        <v/>
      </c>
    </row>
    <row r="404">
      <c r="I404">
        <f>IF(OR(Datos!B404="",Datos!B405=""),"",(Datos!B405-Datos!B404)^2)</f>
        <v/>
      </c>
    </row>
    <row r="405">
      <c r="I405">
        <f>IF(OR(Datos!B405="",Datos!B406=""),"",(Datos!B406-Datos!B405)^2)</f>
        <v/>
      </c>
    </row>
    <row r="406">
      <c r="I406">
        <f>IF(OR(Datos!B406="",Datos!B407=""),"",(Datos!B407-Datos!B406)^2)</f>
        <v/>
      </c>
    </row>
    <row r="407">
      <c r="I407">
        <f>IF(OR(Datos!B407="",Datos!B408=""),"",(Datos!B408-Datos!B407)^2)</f>
        <v/>
      </c>
    </row>
    <row r="408">
      <c r="I408">
        <f>IF(OR(Datos!B408="",Datos!B409=""),"",(Datos!B409-Datos!B408)^2)</f>
        <v/>
      </c>
    </row>
    <row r="409">
      <c r="I409">
        <f>IF(OR(Datos!B409="",Datos!B410=""),"",(Datos!B410-Datos!B409)^2)</f>
        <v/>
      </c>
    </row>
    <row r="410">
      <c r="I410">
        <f>IF(OR(Datos!B410="",Datos!B411=""),"",(Datos!B411-Datos!B410)^2)</f>
        <v/>
      </c>
    </row>
    <row r="411">
      <c r="I411">
        <f>IF(OR(Datos!B411="",Datos!B412=""),"",(Datos!B412-Datos!B411)^2)</f>
        <v/>
      </c>
    </row>
    <row r="412">
      <c r="I412">
        <f>IF(OR(Datos!B412="",Datos!B413=""),"",(Datos!B413-Datos!B412)^2)</f>
        <v/>
      </c>
    </row>
    <row r="413">
      <c r="I413">
        <f>IF(OR(Datos!B413="",Datos!B414=""),"",(Datos!B414-Datos!B413)^2)</f>
        <v/>
      </c>
    </row>
    <row r="414">
      <c r="I414">
        <f>IF(OR(Datos!B414="",Datos!B415=""),"",(Datos!B415-Datos!B414)^2)</f>
        <v/>
      </c>
    </row>
    <row r="415">
      <c r="I415">
        <f>IF(OR(Datos!B415="",Datos!B416=""),"",(Datos!B416-Datos!B415)^2)</f>
        <v/>
      </c>
    </row>
    <row r="416">
      <c r="I416">
        <f>IF(OR(Datos!B416="",Datos!B417=""),"",(Datos!B417-Datos!B416)^2)</f>
        <v/>
      </c>
    </row>
    <row r="417">
      <c r="I417">
        <f>IF(OR(Datos!B417="",Datos!B418=""),"",(Datos!B418-Datos!B417)^2)</f>
        <v/>
      </c>
    </row>
    <row r="418">
      <c r="I418">
        <f>IF(OR(Datos!B418="",Datos!B419=""),"",(Datos!B419-Datos!B418)^2)</f>
        <v/>
      </c>
    </row>
    <row r="419">
      <c r="I419">
        <f>IF(OR(Datos!B419="",Datos!B420=""),"",(Datos!B420-Datos!B419)^2)</f>
        <v/>
      </c>
    </row>
    <row r="420">
      <c r="I420">
        <f>IF(OR(Datos!B420="",Datos!B421=""),"",(Datos!B421-Datos!B420)^2)</f>
        <v/>
      </c>
    </row>
    <row r="421">
      <c r="I421">
        <f>IF(OR(Datos!B421="",Datos!B422=""),"",(Datos!B422-Datos!B421)^2)</f>
        <v/>
      </c>
    </row>
    <row r="422">
      <c r="I422">
        <f>IF(OR(Datos!B422="",Datos!B423=""),"",(Datos!B423-Datos!B422)^2)</f>
        <v/>
      </c>
    </row>
    <row r="423">
      <c r="I423">
        <f>IF(OR(Datos!B423="",Datos!B424=""),"",(Datos!B424-Datos!B423)^2)</f>
        <v/>
      </c>
    </row>
    <row r="424">
      <c r="I424">
        <f>IF(OR(Datos!B424="",Datos!B425=""),"",(Datos!B425-Datos!B424)^2)</f>
        <v/>
      </c>
    </row>
    <row r="425">
      <c r="I425">
        <f>IF(OR(Datos!B425="",Datos!B426=""),"",(Datos!B426-Datos!B425)^2)</f>
        <v/>
      </c>
    </row>
    <row r="426">
      <c r="I426">
        <f>IF(OR(Datos!B426="",Datos!B427=""),"",(Datos!B427-Datos!B426)^2)</f>
        <v/>
      </c>
    </row>
    <row r="427">
      <c r="I427">
        <f>IF(OR(Datos!B427="",Datos!B428=""),"",(Datos!B428-Datos!B427)^2)</f>
        <v/>
      </c>
    </row>
    <row r="428">
      <c r="I428">
        <f>IF(OR(Datos!B428="",Datos!B429=""),"",(Datos!B429-Datos!B428)^2)</f>
        <v/>
      </c>
    </row>
    <row r="429">
      <c r="I429">
        <f>IF(OR(Datos!B429="",Datos!B430=""),"",(Datos!B430-Datos!B429)^2)</f>
        <v/>
      </c>
    </row>
    <row r="430">
      <c r="I430">
        <f>IF(OR(Datos!B430="",Datos!B431=""),"",(Datos!B431-Datos!B430)^2)</f>
        <v/>
      </c>
    </row>
    <row r="431">
      <c r="I431">
        <f>IF(OR(Datos!B431="",Datos!B432=""),"",(Datos!B432-Datos!B431)^2)</f>
        <v/>
      </c>
    </row>
    <row r="432">
      <c r="I432">
        <f>IF(OR(Datos!B432="",Datos!B433=""),"",(Datos!B433-Datos!B432)^2)</f>
        <v/>
      </c>
    </row>
    <row r="433">
      <c r="I433">
        <f>IF(OR(Datos!B433="",Datos!B434=""),"",(Datos!B434-Datos!B433)^2)</f>
        <v/>
      </c>
    </row>
    <row r="434">
      <c r="I434">
        <f>IF(OR(Datos!B434="",Datos!B435=""),"",(Datos!B435-Datos!B434)^2)</f>
        <v/>
      </c>
    </row>
    <row r="435">
      <c r="I435">
        <f>IF(OR(Datos!B435="",Datos!B436=""),"",(Datos!B436-Datos!B435)^2)</f>
        <v/>
      </c>
    </row>
    <row r="436">
      <c r="I436">
        <f>IF(OR(Datos!B436="",Datos!B437=""),"",(Datos!B437-Datos!B436)^2)</f>
        <v/>
      </c>
    </row>
    <row r="437">
      <c r="I437">
        <f>IF(OR(Datos!B437="",Datos!B438=""),"",(Datos!B438-Datos!B437)^2)</f>
        <v/>
      </c>
    </row>
    <row r="438">
      <c r="I438">
        <f>IF(OR(Datos!B438="",Datos!B439=""),"",(Datos!B439-Datos!B438)^2)</f>
        <v/>
      </c>
    </row>
    <row r="439">
      <c r="I439">
        <f>IF(OR(Datos!B439="",Datos!B440=""),"",(Datos!B440-Datos!B439)^2)</f>
        <v/>
      </c>
    </row>
    <row r="440">
      <c r="I440">
        <f>IF(OR(Datos!B440="",Datos!B441=""),"",(Datos!B441-Datos!B440)^2)</f>
        <v/>
      </c>
    </row>
    <row r="441">
      <c r="I441">
        <f>IF(OR(Datos!B441="",Datos!B442=""),"",(Datos!B442-Datos!B441)^2)</f>
        <v/>
      </c>
    </row>
    <row r="442">
      <c r="I442">
        <f>IF(OR(Datos!B442="",Datos!B443=""),"",(Datos!B443-Datos!B442)^2)</f>
        <v/>
      </c>
    </row>
    <row r="443">
      <c r="I443">
        <f>IF(OR(Datos!B443="",Datos!B444=""),"",(Datos!B444-Datos!B443)^2)</f>
        <v/>
      </c>
    </row>
    <row r="444">
      <c r="I444">
        <f>IF(OR(Datos!B444="",Datos!B445=""),"",(Datos!B445-Datos!B444)^2)</f>
        <v/>
      </c>
    </row>
    <row r="445">
      <c r="I445">
        <f>IF(OR(Datos!B445="",Datos!B446=""),"",(Datos!B446-Datos!B445)^2)</f>
        <v/>
      </c>
    </row>
    <row r="446">
      <c r="I446">
        <f>IF(OR(Datos!B446="",Datos!B447=""),"",(Datos!B447-Datos!B446)^2)</f>
        <v/>
      </c>
    </row>
    <row r="447">
      <c r="I447">
        <f>IF(OR(Datos!B447="",Datos!B448=""),"",(Datos!B448-Datos!B447)^2)</f>
        <v/>
      </c>
    </row>
    <row r="448">
      <c r="I448">
        <f>IF(OR(Datos!B448="",Datos!B449=""),"",(Datos!B449-Datos!B448)^2)</f>
        <v/>
      </c>
    </row>
    <row r="449">
      <c r="I449">
        <f>IF(OR(Datos!B449="",Datos!B450=""),"",(Datos!B450-Datos!B449)^2)</f>
        <v/>
      </c>
    </row>
    <row r="450">
      <c r="I450">
        <f>IF(OR(Datos!B450="",Datos!B451=""),"",(Datos!B451-Datos!B450)^2)</f>
        <v/>
      </c>
    </row>
    <row r="451">
      <c r="I451">
        <f>IF(OR(Datos!B451="",Datos!B452=""),"",(Datos!B452-Datos!B451)^2)</f>
        <v/>
      </c>
    </row>
    <row r="452">
      <c r="I452">
        <f>IF(OR(Datos!B452="",Datos!B453=""),"",(Datos!B453-Datos!B452)^2)</f>
        <v/>
      </c>
    </row>
    <row r="453">
      <c r="I453">
        <f>IF(OR(Datos!B453="",Datos!B454=""),"",(Datos!B454-Datos!B453)^2)</f>
        <v/>
      </c>
    </row>
    <row r="454">
      <c r="I454">
        <f>IF(OR(Datos!B454="",Datos!B455=""),"",(Datos!B455-Datos!B454)^2)</f>
        <v/>
      </c>
    </row>
    <row r="455">
      <c r="I455">
        <f>IF(OR(Datos!B455="",Datos!B456=""),"",(Datos!B456-Datos!B455)^2)</f>
        <v/>
      </c>
    </row>
    <row r="456">
      <c r="I456">
        <f>IF(OR(Datos!B456="",Datos!B457=""),"",(Datos!B457-Datos!B456)^2)</f>
        <v/>
      </c>
    </row>
    <row r="457">
      <c r="I457">
        <f>IF(OR(Datos!B457="",Datos!B458=""),"",(Datos!B458-Datos!B457)^2)</f>
        <v/>
      </c>
    </row>
    <row r="458">
      <c r="I458">
        <f>IF(OR(Datos!B458="",Datos!B459=""),"",(Datos!B459-Datos!B458)^2)</f>
        <v/>
      </c>
    </row>
    <row r="459">
      <c r="I459">
        <f>IF(OR(Datos!B459="",Datos!B460=""),"",(Datos!B460-Datos!B459)^2)</f>
        <v/>
      </c>
    </row>
    <row r="460">
      <c r="I460">
        <f>IF(OR(Datos!B460="",Datos!B461=""),"",(Datos!B461-Datos!B460)^2)</f>
        <v/>
      </c>
    </row>
    <row r="461">
      <c r="I461">
        <f>IF(OR(Datos!B461="",Datos!B462=""),"",(Datos!B462-Datos!B461)^2)</f>
        <v/>
      </c>
    </row>
    <row r="462">
      <c r="I462">
        <f>IF(OR(Datos!B462="",Datos!B463=""),"",(Datos!B463-Datos!B462)^2)</f>
        <v/>
      </c>
    </row>
    <row r="463">
      <c r="I463">
        <f>IF(OR(Datos!B463="",Datos!B464=""),"",(Datos!B464-Datos!B463)^2)</f>
        <v/>
      </c>
    </row>
    <row r="464">
      <c r="I464">
        <f>IF(OR(Datos!B464="",Datos!B465=""),"",(Datos!B465-Datos!B464)^2)</f>
        <v/>
      </c>
    </row>
    <row r="465">
      <c r="I465">
        <f>IF(OR(Datos!B465="",Datos!B466=""),"",(Datos!B466-Datos!B465)^2)</f>
        <v/>
      </c>
    </row>
    <row r="466">
      <c r="I466">
        <f>IF(OR(Datos!B466="",Datos!B467=""),"",(Datos!B467-Datos!B466)^2)</f>
        <v/>
      </c>
    </row>
    <row r="467">
      <c r="I467">
        <f>IF(OR(Datos!B467="",Datos!B468=""),"",(Datos!B468-Datos!B467)^2)</f>
        <v/>
      </c>
    </row>
    <row r="468">
      <c r="I468">
        <f>IF(OR(Datos!B468="",Datos!B469=""),"",(Datos!B469-Datos!B468)^2)</f>
        <v/>
      </c>
    </row>
    <row r="469">
      <c r="I469">
        <f>IF(OR(Datos!B469="",Datos!B470=""),"",(Datos!B470-Datos!B469)^2)</f>
        <v/>
      </c>
    </row>
    <row r="470">
      <c r="I470">
        <f>IF(OR(Datos!B470="",Datos!B471=""),"",(Datos!B471-Datos!B470)^2)</f>
        <v/>
      </c>
    </row>
    <row r="471">
      <c r="I471">
        <f>IF(OR(Datos!B471="",Datos!B472=""),"",(Datos!B472-Datos!B471)^2)</f>
        <v/>
      </c>
    </row>
    <row r="472">
      <c r="I472">
        <f>IF(OR(Datos!B472="",Datos!B473=""),"",(Datos!B473-Datos!B472)^2)</f>
        <v/>
      </c>
    </row>
    <row r="473">
      <c r="I473">
        <f>IF(OR(Datos!B473="",Datos!B474=""),"",(Datos!B474-Datos!B473)^2)</f>
        <v/>
      </c>
    </row>
    <row r="474">
      <c r="I474">
        <f>IF(OR(Datos!B474="",Datos!B475=""),"",(Datos!B475-Datos!B474)^2)</f>
        <v/>
      </c>
    </row>
    <row r="475">
      <c r="I475">
        <f>IF(OR(Datos!B475="",Datos!B476=""),"",(Datos!B476-Datos!B475)^2)</f>
        <v/>
      </c>
    </row>
    <row r="476">
      <c r="I476">
        <f>IF(OR(Datos!B476="",Datos!B477=""),"",(Datos!B477-Datos!B476)^2)</f>
        <v/>
      </c>
    </row>
    <row r="477">
      <c r="I477">
        <f>IF(OR(Datos!B477="",Datos!B478=""),"",(Datos!B478-Datos!B477)^2)</f>
        <v/>
      </c>
    </row>
    <row r="478">
      <c r="I478">
        <f>IF(OR(Datos!B478="",Datos!B479=""),"",(Datos!B479-Datos!B478)^2)</f>
        <v/>
      </c>
    </row>
    <row r="479">
      <c r="I479">
        <f>IF(OR(Datos!B479="",Datos!B480=""),"",(Datos!B480-Datos!B479)^2)</f>
        <v/>
      </c>
    </row>
    <row r="480">
      <c r="I480">
        <f>IF(OR(Datos!B480="",Datos!B481=""),"",(Datos!B481-Datos!B480)^2)</f>
        <v/>
      </c>
    </row>
    <row r="481">
      <c r="I481">
        <f>IF(OR(Datos!B481="",Datos!B482=""),"",(Datos!B482-Datos!B481)^2)</f>
        <v/>
      </c>
    </row>
    <row r="482">
      <c r="I482">
        <f>IF(OR(Datos!B482="",Datos!B483=""),"",(Datos!B483-Datos!B482)^2)</f>
        <v/>
      </c>
    </row>
    <row r="483">
      <c r="I483">
        <f>IF(OR(Datos!B483="",Datos!B484=""),"",(Datos!B484-Datos!B483)^2)</f>
        <v/>
      </c>
    </row>
    <row r="484">
      <c r="I484">
        <f>IF(OR(Datos!B484="",Datos!B485=""),"",(Datos!B485-Datos!B484)^2)</f>
        <v/>
      </c>
    </row>
    <row r="485">
      <c r="I485">
        <f>IF(OR(Datos!B485="",Datos!B486=""),"",(Datos!B486-Datos!B485)^2)</f>
        <v/>
      </c>
    </row>
    <row r="486">
      <c r="I486">
        <f>IF(OR(Datos!B486="",Datos!B487=""),"",(Datos!B487-Datos!B486)^2)</f>
        <v/>
      </c>
    </row>
    <row r="487">
      <c r="I487">
        <f>IF(OR(Datos!B487="",Datos!B488=""),"",(Datos!B488-Datos!B487)^2)</f>
        <v/>
      </c>
    </row>
    <row r="488">
      <c r="I488">
        <f>IF(OR(Datos!B488="",Datos!B489=""),"",(Datos!B489-Datos!B488)^2)</f>
        <v/>
      </c>
    </row>
    <row r="489">
      <c r="I489">
        <f>IF(OR(Datos!B489="",Datos!B490=""),"",(Datos!B490-Datos!B489)^2)</f>
        <v/>
      </c>
    </row>
    <row r="490">
      <c r="I490">
        <f>IF(OR(Datos!B490="",Datos!B491=""),"",(Datos!B491-Datos!B490)^2)</f>
        <v/>
      </c>
    </row>
    <row r="491">
      <c r="I491">
        <f>IF(OR(Datos!B491="",Datos!B492=""),"",(Datos!B492-Datos!B491)^2)</f>
        <v/>
      </c>
    </row>
    <row r="492">
      <c r="I492">
        <f>IF(OR(Datos!B492="",Datos!B493=""),"",(Datos!B493-Datos!B492)^2)</f>
        <v/>
      </c>
    </row>
    <row r="493">
      <c r="I493">
        <f>IF(OR(Datos!B493="",Datos!B494=""),"",(Datos!B494-Datos!B493)^2)</f>
        <v/>
      </c>
    </row>
    <row r="494">
      <c r="I494">
        <f>IF(OR(Datos!B494="",Datos!B495=""),"",(Datos!B495-Datos!B494)^2)</f>
        <v/>
      </c>
    </row>
    <row r="495">
      <c r="I495">
        <f>IF(OR(Datos!B495="",Datos!B496=""),"",(Datos!B496-Datos!B495)^2)</f>
        <v/>
      </c>
    </row>
    <row r="496">
      <c r="I496">
        <f>IF(OR(Datos!B496="",Datos!B497=""),"",(Datos!B497-Datos!B496)^2)</f>
        <v/>
      </c>
    </row>
    <row r="497">
      <c r="I497">
        <f>IF(OR(Datos!B497="",Datos!B498=""),"",(Datos!B498-Datos!B497)^2)</f>
        <v/>
      </c>
    </row>
    <row r="498">
      <c r="I498">
        <f>IF(OR(Datos!B498="",Datos!B499=""),"",(Datos!B499-Datos!B498)^2)</f>
        <v/>
      </c>
    </row>
    <row r="499">
      <c r="I499">
        <f>IF(OR(Datos!B499="",Datos!B500=""),"",(Datos!B500-Datos!B499)^2)</f>
        <v/>
      </c>
    </row>
    <row r="500">
      <c r="I500">
        <f>IF(OR(Datos!B500="",Datos!B501=""),"",(Datos!B501-Datos!B500)^2)</f>
        <v/>
      </c>
    </row>
    <row r="501">
      <c r="I501">
        <f>IF(OR(Datos!B501="",Datos!B502=""),"",(Datos!B502-Datos!B501)^2)</f>
        <v/>
      </c>
    </row>
    <row r="502">
      <c r="I502">
        <f>IF(OR(Datos!B502="",Datos!B503=""),"",(Datos!B503-Datos!B502)^2)</f>
        <v/>
      </c>
    </row>
    <row r="503">
      <c r="I503">
        <f>IF(OR(Datos!B503="",Datos!B504=""),"",(Datos!B504-Datos!B503)^2)</f>
        <v/>
      </c>
    </row>
    <row r="504">
      <c r="I504">
        <f>IF(OR(Datos!B504="",Datos!B505=""),"",(Datos!B505-Datos!B504)^2)</f>
        <v/>
      </c>
    </row>
    <row r="505">
      <c r="I505">
        <f>IF(OR(Datos!B505="",Datos!B506=""),"",(Datos!B506-Datos!B505)^2)</f>
        <v/>
      </c>
    </row>
    <row r="506">
      <c r="I506">
        <f>IF(OR(Datos!B506="",Datos!B507=""),"",(Datos!B507-Datos!B506)^2)</f>
        <v/>
      </c>
    </row>
    <row r="507">
      <c r="I507">
        <f>IF(OR(Datos!B507="",Datos!B508=""),"",(Datos!B508-Datos!B507)^2)</f>
        <v/>
      </c>
    </row>
    <row r="508">
      <c r="I508">
        <f>IF(OR(Datos!B508="",Datos!B509=""),"",(Datos!B509-Datos!B508)^2)</f>
        <v/>
      </c>
    </row>
    <row r="509">
      <c r="I509">
        <f>IF(OR(Datos!B509="",Datos!B510=""),"",(Datos!B510-Datos!B509)^2)</f>
        <v/>
      </c>
    </row>
    <row r="510">
      <c r="I510">
        <f>IF(OR(Datos!B510="",Datos!B511=""),"",(Datos!B511-Datos!B510)^2)</f>
        <v/>
      </c>
    </row>
    <row r="511">
      <c r="I511">
        <f>IF(OR(Datos!B511="",Datos!B512=""),"",(Datos!B512-Datos!B511)^2)</f>
        <v/>
      </c>
    </row>
    <row r="512">
      <c r="I512">
        <f>IF(OR(Datos!B512="",Datos!B513=""),"",(Datos!B513-Datos!B512)^2)</f>
        <v/>
      </c>
    </row>
    <row r="513">
      <c r="I513">
        <f>IF(OR(Datos!B513="",Datos!B514=""),"",(Datos!B514-Datos!B513)^2)</f>
        <v/>
      </c>
    </row>
    <row r="514">
      <c r="I514">
        <f>IF(OR(Datos!B514="",Datos!B515=""),"",(Datos!B515-Datos!B514)^2)</f>
        <v/>
      </c>
    </row>
    <row r="515">
      <c r="I515">
        <f>IF(OR(Datos!B515="",Datos!B516=""),"",(Datos!B516-Datos!B515)^2)</f>
        <v/>
      </c>
    </row>
    <row r="516">
      <c r="I516">
        <f>IF(OR(Datos!B516="",Datos!B517=""),"",(Datos!B517-Datos!B516)^2)</f>
        <v/>
      </c>
    </row>
    <row r="517">
      <c r="I517">
        <f>IF(OR(Datos!B517="",Datos!B518=""),"",(Datos!B518-Datos!B517)^2)</f>
        <v/>
      </c>
    </row>
    <row r="518">
      <c r="I518">
        <f>IF(OR(Datos!B518="",Datos!B519=""),"",(Datos!B519-Datos!B518)^2)</f>
        <v/>
      </c>
    </row>
    <row r="519">
      <c r="I519">
        <f>IF(OR(Datos!B519="",Datos!B520=""),"",(Datos!B520-Datos!B519)^2)</f>
        <v/>
      </c>
    </row>
    <row r="520">
      <c r="I520">
        <f>IF(OR(Datos!B520="",Datos!B521=""),"",(Datos!B521-Datos!B520)^2)</f>
        <v/>
      </c>
    </row>
    <row r="521">
      <c r="I521">
        <f>IF(OR(Datos!B521="",Datos!B522=""),"",(Datos!B522-Datos!B521)^2)</f>
        <v/>
      </c>
    </row>
    <row r="522">
      <c r="I522">
        <f>IF(OR(Datos!B522="",Datos!B523=""),"",(Datos!B523-Datos!B522)^2)</f>
        <v/>
      </c>
    </row>
    <row r="523">
      <c r="I523">
        <f>IF(OR(Datos!B523="",Datos!B524=""),"",(Datos!B524-Datos!B523)^2)</f>
        <v/>
      </c>
    </row>
    <row r="524">
      <c r="I524">
        <f>IF(OR(Datos!B524="",Datos!B525=""),"",(Datos!B525-Datos!B524)^2)</f>
        <v/>
      </c>
    </row>
    <row r="525">
      <c r="I525">
        <f>IF(OR(Datos!B525="",Datos!B526=""),"",(Datos!B526-Datos!B525)^2)</f>
        <v/>
      </c>
    </row>
    <row r="526">
      <c r="I526">
        <f>IF(OR(Datos!B526="",Datos!B527=""),"",(Datos!B527-Datos!B526)^2)</f>
        <v/>
      </c>
    </row>
    <row r="527">
      <c r="I527">
        <f>IF(OR(Datos!B527="",Datos!B528=""),"",(Datos!B528-Datos!B527)^2)</f>
        <v/>
      </c>
    </row>
    <row r="528">
      <c r="I528">
        <f>IF(OR(Datos!B528="",Datos!B529=""),"",(Datos!B529-Datos!B528)^2)</f>
        <v/>
      </c>
    </row>
    <row r="529">
      <c r="I529">
        <f>IF(OR(Datos!B529="",Datos!B530=""),"",(Datos!B530-Datos!B529)^2)</f>
        <v/>
      </c>
    </row>
    <row r="530">
      <c r="I530">
        <f>IF(OR(Datos!B530="",Datos!B531=""),"",(Datos!B531-Datos!B530)^2)</f>
        <v/>
      </c>
    </row>
    <row r="531">
      <c r="I531">
        <f>IF(OR(Datos!B531="",Datos!B532=""),"",(Datos!B532-Datos!B531)^2)</f>
        <v/>
      </c>
    </row>
    <row r="532">
      <c r="I532">
        <f>IF(OR(Datos!B532="",Datos!B533=""),"",(Datos!B533-Datos!B532)^2)</f>
        <v/>
      </c>
    </row>
    <row r="533">
      <c r="I533">
        <f>IF(OR(Datos!B533="",Datos!B534=""),"",(Datos!B534-Datos!B533)^2)</f>
        <v/>
      </c>
    </row>
    <row r="534">
      <c r="I534">
        <f>IF(OR(Datos!B534="",Datos!B535=""),"",(Datos!B535-Datos!B534)^2)</f>
        <v/>
      </c>
    </row>
    <row r="535">
      <c r="I535">
        <f>IF(OR(Datos!B535="",Datos!B536=""),"",(Datos!B536-Datos!B535)^2)</f>
        <v/>
      </c>
    </row>
    <row r="536">
      <c r="I536">
        <f>IF(OR(Datos!B536="",Datos!B537=""),"",(Datos!B537-Datos!B536)^2)</f>
        <v/>
      </c>
    </row>
    <row r="537">
      <c r="I537">
        <f>IF(OR(Datos!B537="",Datos!B538=""),"",(Datos!B538-Datos!B537)^2)</f>
        <v/>
      </c>
    </row>
    <row r="538">
      <c r="I538">
        <f>IF(OR(Datos!B538="",Datos!B539=""),"",(Datos!B539-Datos!B538)^2)</f>
        <v/>
      </c>
    </row>
    <row r="539">
      <c r="I539">
        <f>IF(OR(Datos!B539="",Datos!B540=""),"",(Datos!B540-Datos!B539)^2)</f>
        <v/>
      </c>
    </row>
    <row r="540">
      <c r="I540">
        <f>IF(OR(Datos!B540="",Datos!B541=""),"",(Datos!B541-Datos!B540)^2)</f>
        <v/>
      </c>
    </row>
    <row r="541">
      <c r="I541">
        <f>IF(OR(Datos!B541="",Datos!B542=""),"",(Datos!B542-Datos!B541)^2)</f>
        <v/>
      </c>
    </row>
    <row r="542">
      <c r="I542">
        <f>IF(OR(Datos!B542="",Datos!B543=""),"",(Datos!B543-Datos!B542)^2)</f>
        <v/>
      </c>
    </row>
    <row r="543">
      <c r="I543">
        <f>IF(OR(Datos!B543="",Datos!B544=""),"",(Datos!B544-Datos!B543)^2)</f>
        <v/>
      </c>
    </row>
    <row r="544">
      <c r="I544">
        <f>IF(OR(Datos!B544="",Datos!B545=""),"",(Datos!B545-Datos!B544)^2)</f>
        <v/>
      </c>
    </row>
    <row r="545">
      <c r="I545">
        <f>IF(OR(Datos!B545="",Datos!B546=""),"",(Datos!B546-Datos!B545)^2)</f>
        <v/>
      </c>
    </row>
    <row r="546">
      <c r="I546">
        <f>IF(OR(Datos!B546="",Datos!B547=""),"",(Datos!B547-Datos!B546)^2)</f>
        <v/>
      </c>
    </row>
    <row r="547">
      <c r="I547">
        <f>IF(OR(Datos!B547="",Datos!B548=""),"",(Datos!B548-Datos!B547)^2)</f>
        <v/>
      </c>
    </row>
    <row r="548">
      <c r="I548">
        <f>IF(OR(Datos!B548="",Datos!B549=""),"",(Datos!B549-Datos!B548)^2)</f>
        <v/>
      </c>
    </row>
    <row r="549">
      <c r="I549">
        <f>IF(OR(Datos!B549="",Datos!B550=""),"",(Datos!B550-Datos!B549)^2)</f>
        <v/>
      </c>
    </row>
    <row r="550">
      <c r="I550">
        <f>IF(OR(Datos!B550="",Datos!B551=""),"",(Datos!B551-Datos!B550)^2)</f>
        <v/>
      </c>
    </row>
    <row r="551">
      <c r="I551">
        <f>IF(OR(Datos!B551="",Datos!B552=""),"",(Datos!B552-Datos!B551)^2)</f>
        <v/>
      </c>
    </row>
    <row r="552">
      <c r="I552">
        <f>IF(OR(Datos!B552="",Datos!B553=""),"",(Datos!B553-Datos!B552)^2)</f>
        <v/>
      </c>
    </row>
    <row r="553">
      <c r="I553">
        <f>IF(OR(Datos!B553="",Datos!B554=""),"",(Datos!B554-Datos!B553)^2)</f>
        <v/>
      </c>
    </row>
    <row r="554">
      <c r="I554">
        <f>IF(OR(Datos!B554="",Datos!B555=""),"",(Datos!B555-Datos!B554)^2)</f>
        <v/>
      </c>
    </row>
    <row r="555">
      <c r="I555">
        <f>IF(OR(Datos!B555="",Datos!B556=""),"",(Datos!B556-Datos!B555)^2)</f>
        <v/>
      </c>
    </row>
    <row r="556">
      <c r="I556">
        <f>IF(OR(Datos!B556="",Datos!B557=""),"",(Datos!B557-Datos!B556)^2)</f>
        <v/>
      </c>
    </row>
    <row r="557">
      <c r="I557">
        <f>IF(OR(Datos!B557="",Datos!B558=""),"",(Datos!B558-Datos!B557)^2)</f>
        <v/>
      </c>
    </row>
    <row r="558">
      <c r="I558">
        <f>IF(OR(Datos!B558="",Datos!B559=""),"",(Datos!B559-Datos!B558)^2)</f>
        <v/>
      </c>
    </row>
    <row r="559">
      <c r="I559">
        <f>IF(OR(Datos!B559="",Datos!B560=""),"",(Datos!B560-Datos!B559)^2)</f>
        <v/>
      </c>
    </row>
    <row r="560">
      <c r="I560">
        <f>IF(OR(Datos!B560="",Datos!B561=""),"",(Datos!B561-Datos!B560)^2)</f>
        <v/>
      </c>
    </row>
    <row r="561">
      <c r="I561">
        <f>IF(OR(Datos!B561="",Datos!B562=""),"",(Datos!B562-Datos!B561)^2)</f>
        <v/>
      </c>
    </row>
    <row r="562">
      <c r="I562">
        <f>IF(OR(Datos!B562="",Datos!B563=""),"",(Datos!B563-Datos!B562)^2)</f>
        <v/>
      </c>
    </row>
    <row r="563">
      <c r="I563">
        <f>IF(OR(Datos!B563="",Datos!B564=""),"",(Datos!B564-Datos!B563)^2)</f>
        <v/>
      </c>
    </row>
    <row r="564">
      <c r="I564">
        <f>IF(OR(Datos!B564="",Datos!B565=""),"",(Datos!B565-Datos!B564)^2)</f>
        <v/>
      </c>
    </row>
    <row r="565">
      <c r="I565">
        <f>IF(OR(Datos!B565="",Datos!B566=""),"",(Datos!B566-Datos!B565)^2)</f>
        <v/>
      </c>
    </row>
    <row r="566">
      <c r="I566">
        <f>IF(OR(Datos!B566="",Datos!B567=""),"",(Datos!B567-Datos!B566)^2)</f>
        <v/>
      </c>
    </row>
    <row r="567">
      <c r="I567">
        <f>IF(OR(Datos!B567="",Datos!B568=""),"",(Datos!B568-Datos!B567)^2)</f>
        <v/>
      </c>
    </row>
    <row r="568">
      <c r="I568">
        <f>IF(OR(Datos!B568="",Datos!B569=""),"",(Datos!B569-Datos!B568)^2)</f>
        <v/>
      </c>
    </row>
    <row r="569">
      <c r="I569">
        <f>IF(OR(Datos!B569="",Datos!B570=""),"",(Datos!B570-Datos!B569)^2)</f>
        <v/>
      </c>
    </row>
    <row r="570">
      <c r="I570">
        <f>IF(OR(Datos!B570="",Datos!B571=""),"",(Datos!B571-Datos!B570)^2)</f>
        <v/>
      </c>
    </row>
    <row r="571">
      <c r="I571">
        <f>IF(OR(Datos!B571="",Datos!B572=""),"",(Datos!B572-Datos!B571)^2)</f>
        <v/>
      </c>
    </row>
    <row r="572">
      <c r="I572">
        <f>IF(OR(Datos!B572="",Datos!B573=""),"",(Datos!B573-Datos!B572)^2)</f>
        <v/>
      </c>
    </row>
    <row r="573">
      <c r="I573">
        <f>IF(OR(Datos!B573="",Datos!B574=""),"",(Datos!B574-Datos!B573)^2)</f>
        <v/>
      </c>
    </row>
    <row r="574">
      <c r="I574">
        <f>IF(OR(Datos!B574="",Datos!B575=""),"",(Datos!B575-Datos!B574)^2)</f>
        <v/>
      </c>
    </row>
    <row r="575">
      <c r="I575">
        <f>IF(OR(Datos!B575="",Datos!B576=""),"",(Datos!B576-Datos!B575)^2)</f>
        <v/>
      </c>
    </row>
    <row r="576">
      <c r="I576">
        <f>IF(OR(Datos!B576="",Datos!B577=""),"",(Datos!B577-Datos!B576)^2)</f>
        <v/>
      </c>
    </row>
    <row r="577">
      <c r="I577">
        <f>IF(OR(Datos!B577="",Datos!B578=""),"",(Datos!B578-Datos!B577)^2)</f>
        <v/>
      </c>
    </row>
    <row r="578">
      <c r="I578">
        <f>IF(OR(Datos!B578="",Datos!B579=""),"",(Datos!B579-Datos!B578)^2)</f>
        <v/>
      </c>
    </row>
    <row r="579">
      <c r="I579">
        <f>IF(OR(Datos!B579="",Datos!B580=""),"",(Datos!B580-Datos!B579)^2)</f>
        <v/>
      </c>
    </row>
    <row r="580">
      <c r="I580">
        <f>IF(OR(Datos!B580="",Datos!B581=""),"",(Datos!B581-Datos!B580)^2)</f>
        <v/>
      </c>
    </row>
    <row r="581">
      <c r="I581">
        <f>IF(OR(Datos!B581="",Datos!B582=""),"",(Datos!B582-Datos!B581)^2)</f>
        <v/>
      </c>
    </row>
    <row r="582">
      <c r="I582">
        <f>IF(OR(Datos!B582="",Datos!B583=""),"",(Datos!B583-Datos!B582)^2)</f>
        <v/>
      </c>
    </row>
    <row r="583">
      <c r="I583">
        <f>IF(OR(Datos!B583="",Datos!B584=""),"",(Datos!B584-Datos!B583)^2)</f>
        <v/>
      </c>
    </row>
    <row r="584">
      <c r="I584">
        <f>IF(OR(Datos!B584="",Datos!B585=""),"",(Datos!B585-Datos!B584)^2)</f>
        <v/>
      </c>
    </row>
    <row r="585">
      <c r="I585">
        <f>IF(OR(Datos!B585="",Datos!B586=""),"",(Datos!B586-Datos!B585)^2)</f>
        <v/>
      </c>
    </row>
    <row r="586">
      <c r="I586">
        <f>IF(OR(Datos!B586="",Datos!B587=""),"",(Datos!B587-Datos!B586)^2)</f>
        <v/>
      </c>
    </row>
    <row r="587">
      <c r="I587">
        <f>IF(OR(Datos!B587="",Datos!B588=""),"",(Datos!B588-Datos!B587)^2)</f>
        <v/>
      </c>
    </row>
    <row r="588">
      <c r="I588">
        <f>IF(OR(Datos!B588="",Datos!B589=""),"",(Datos!B589-Datos!B588)^2)</f>
        <v/>
      </c>
    </row>
    <row r="589">
      <c r="I589">
        <f>IF(OR(Datos!B589="",Datos!B590=""),"",(Datos!B590-Datos!B589)^2)</f>
        <v/>
      </c>
    </row>
    <row r="590">
      <c r="I590">
        <f>IF(OR(Datos!B590="",Datos!B591=""),"",(Datos!B591-Datos!B590)^2)</f>
        <v/>
      </c>
    </row>
    <row r="591">
      <c r="I591">
        <f>IF(OR(Datos!B591="",Datos!B592=""),"",(Datos!B592-Datos!B591)^2)</f>
        <v/>
      </c>
    </row>
    <row r="592">
      <c r="I592">
        <f>IF(OR(Datos!B592="",Datos!B593=""),"",(Datos!B593-Datos!B592)^2)</f>
        <v/>
      </c>
    </row>
    <row r="593">
      <c r="I593">
        <f>IF(OR(Datos!B593="",Datos!B594=""),"",(Datos!B594-Datos!B593)^2)</f>
        <v/>
      </c>
    </row>
    <row r="594">
      <c r="I594">
        <f>IF(OR(Datos!B594="",Datos!B595=""),"",(Datos!B595-Datos!B594)^2)</f>
        <v/>
      </c>
    </row>
    <row r="595">
      <c r="I595">
        <f>IF(OR(Datos!B595="",Datos!B596=""),"",(Datos!B596-Datos!B595)^2)</f>
        <v/>
      </c>
    </row>
    <row r="596">
      <c r="I596">
        <f>IF(OR(Datos!B596="",Datos!B597=""),"",(Datos!B597-Datos!B596)^2)</f>
        <v/>
      </c>
    </row>
    <row r="597">
      <c r="I597">
        <f>IF(OR(Datos!B597="",Datos!B598=""),"",(Datos!B598-Datos!B597)^2)</f>
        <v/>
      </c>
    </row>
    <row r="598">
      <c r="I598">
        <f>IF(OR(Datos!B598="",Datos!B599=""),"",(Datos!B599-Datos!B598)^2)</f>
        <v/>
      </c>
    </row>
    <row r="599">
      <c r="I599">
        <f>IF(OR(Datos!B599="",Datos!B600=""),"",(Datos!B600-Datos!B599)^2)</f>
        <v/>
      </c>
    </row>
    <row r="600">
      <c r="I600">
        <f>IF(OR(Datos!B600="",Datos!B601=""),"",(Datos!B601-Datos!B600)^2)</f>
        <v/>
      </c>
    </row>
    <row r="601">
      <c r="I601">
        <f>IF(OR(Datos!B601="",Datos!B602=""),"",(Datos!B602-Datos!B601)^2)</f>
        <v/>
      </c>
    </row>
    <row r="602">
      <c r="I602">
        <f>IF(OR(Datos!B602="",Datos!B603=""),"",(Datos!B603-Datos!B602)^2)</f>
        <v/>
      </c>
    </row>
    <row r="603">
      <c r="I603">
        <f>IF(OR(Datos!B603="",Datos!B604=""),"",(Datos!B604-Datos!B603)^2)</f>
        <v/>
      </c>
    </row>
    <row r="604">
      <c r="I604">
        <f>IF(OR(Datos!B604="",Datos!B605=""),"",(Datos!B605-Datos!B604)^2)</f>
        <v/>
      </c>
    </row>
    <row r="605">
      <c r="I605">
        <f>IF(OR(Datos!B605="",Datos!B606=""),"",(Datos!B606-Datos!B605)^2)</f>
        <v/>
      </c>
    </row>
    <row r="606">
      <c r="I606">
        <f>IF(OR(Datos!B606="",Datos!B607=""),"",(Datos!B607-Datos!B606)^2)</f>
        <v/>
      </c>
    </row>
    <row r="607">
      <c r="I607">
        <f>IF(OR(Datos!B607="",Datos!B608=""),"",(Datos!B608-Datos!B607)^2)</f>
        <v/>
      </c>
    </row>
    <row r="608">
      <c r="I608">
        <f>IF(OR(Datos!B608="",Datos!B609=""),"",(Datos!B609-Datos!B608)^2)</f>
        <v/>
      </c>
    </row>
    <row r="609">
      <c r="I609">
        <f>IF(OR(Datos!B609="",Datos!B610=""),"",(Datos!B610-Datos!B609)^2)</f>
        <v/>
      </c>
    </row>
    <row r="610">
      <c r="I610">
        <f>IF(OR(Datos!B610="",Datos!B611=""),"",(Datos!B611-Datos!B610)^2)</f>
        <v/>
      </c>
    </row>
    <row r="611">
      <c r="I611">
        <f>IF(OR(Datos!B611="",Datos!B612=""),"",(Datos!B612-Datos!B611)^2)</f>
        <v/>
      </c>
    </row>
    <row r="612">
      <c r="I612">
        <f>IF(OR(Datos!B612="",Datos!B613=""),"",(Datos!B613-Datos!B612)^2)</f>
        <v/>
      </c>
    </row>
    <row r="613">
      <c r="I613">
        <f>IF(OR(Datos!B613="",Datos!B614=""),"",(Datos!B614-Datos!B613)^2)</f>
        <v/>
      </c>
    </row>
    <row r="614">
      <c r="I614">
        <f>IF(OR(Datos!B614="",Datos!B615=""),"",(Datos!B615-Datos!B614)^2)</f>
        <v/>
      </c>
    </row>
    <row r="615">
      <c r="I615">
        <f>IF(OR(Datos!B615="",Datos!B616=""),"",(Datos!B616-Datos!B615)^2)</f>
        <v/>
      </c>
    </row>
    <row r="616">
      <c r="I616">
        <f>IF(OR(Datos!B616="",Datos!B617=""),"",(Datos!B617-Datos!B616)^2)</f>
        <v/>
      </c>
    </row>
    <row r="617">
      <c r="I617">
        <f>IF(OR(Datos!B617="",Datos!B618=""),"",(Datos!B618-Datos!B617)^2)</f>
        <v/>
      </c>
    </row>
    <row r="618">
      <c r="I618">
        <f>IF(OR(Datos!B618="",Datos!B619=""),"",(Datos!B619-Datos!B618)^2)</f>
        <v/>
      </c>
    </row>
    <row r="619">
      <c r="I619">
        <f>IF(OR(Datos!B619="",Datos!B620=""),"",(Datos!B620-Datos!B619)^2)</f>
        <v/>
      </c>
    </row>
    <row r="620">
      <c r="I620">
        <f>IF(OR(Datos!B620="",Datos!B621=""),"",(Datos!B621-Datos!B620)^2)</f>
        <v/>
      </c>
    </row>
    <row r="621">
      <c r="I621">
        <f>IF(OR(Datos!B621="",Datos!B622=""),"",(Datos!B622-Datos!B621)^2)</f>
        <v/>
      </c>
    </row>
    <row r="622">
      <c r="I622">
        <f>IF(OR(Datos!B622="",Datos!B623=""),"",(Datos!B623-Datos!B622)^2)</f>
        <v/>
      </c>
    </row>
    <row r="623">
      <c r="I623">
        <f>IF(OR(Datos!B623="",Datos!B624=""),"",(Datos!B624-Datos!B623)^2)</f>
        <v/>
      </c>
    </row>
    <row r="624">
      <c r="I624">
        <f>IF(OR(Datos!B624="",Datos!B625=""),"",(Datos!B625-Datos!B624)^2)</f>
        <v/>
      </c>
    </row>
    <row r="625">
      <c r="I625">
        <f>IF(OR(Datos!B625="",Datos!B626=""),"",(Datos!B626-Datos!B625)^2)</f>
        <v/>
      </c>
    </row>
    <row r="626">
      <c r="I626">
        <f>IF(OR(Datos!B626="",Datos!B627=""),"",(Datos!B627-Datos!B626)^2)</f>
        <v/>
      </c>
    </row>
    <row r="627">
      <c r="I627">
        <f>IF(OR(Datos!B627="",Datos!B628=""),"",(Datos!B628-Datos!B627)^2)</f>
        <v/>
      </c>
    </row>
    <row r="628">
      <c r="I628">
        <f>IF(OR(Datos!B628="",Datos!B629=""),"",(Datos!B629-Datos!B628)^2)</f>
        <v/>
      </c>
    </row>
    <row r="629">
      <c r="I629">
        <f>IF(OR(Datos!B629="",Datos!B630=""),"",(Datos!B630-Datos!B629)^2)</f>
        <v/>
      </c>
    </row>
    <row r="630">
      <c r="I630">
        <f>IF(OR(Datos!B630="",Datos!B631=""),"",(Datos!B631-Datos!B630)^2)</f>
        <v/>
      </c>
    </row>
    <row r="631">
      <c r="I631">
        <f>IF(OR(Datos!B631="",Datos!B632=""),"",(Datos!B632-Datos!B631)^2)</f>
        <v/>
      </c>
    </row>
    <row r="632">
      <c r="I632">
        <f>IF(OR(Datos!B632="",Datos!B633=""),"",(Datos!B633-Datos!B632)^2)</f>
        <v/>
      </c>
    </row>
    <row r="633">
      <c r="I633">
        <f>IF(OR(Datos!B633="",Datos!B634=""),"",(Datos!B634-Datos!B633)^2)</f>
        <v/>
      </c>
    </row>
    <row r="634">
      <c r="I634">
        <f>IF(OR(Datos!B634="",Datos!B635=""),"",(Datos!B635-Datos!B634)^2)</f>
        <v/>
      </c>
    </row>
    <row r="635">
      <c r="I635">
        <f>IF(OR(Datos!B635="",Datos!B636=""),"",(Datos!B636-Datos!B635)^2)</f>
        <v/>
      </c>
    </row>
    <row r="636">
      <c r="I636">
        <f>IF(OR(Datos!B636="",Datos!B637=""),"",(Datos!B637-Datos!B636)^2)</f>
        <v/>
      </c>
    </row>
    <row r="637">
      <c r="I637">
        <f>IF(OR(Datos!B637="",Datos!B638=""),"",(Datos!B638-Datos!B637)^2)</f>
        <v/>
      </c>
    </row>
    <row r="638">
      <c r="I638">
        <f>IF(OR(Datos!B638="",Datos!B639=""),"",(Datos!B639-Datos!B638)^2)</f>
        <v/>
      </c>
    </row>
    <row r="639">
      <c r="I639">
        <f>IF(OR(Datos!B639="",Datos!B640=""),"",(Datos!B640-Datos!B639)^2)</f>
        <v/>
      </c>
    </row>
    <row r="640">
      <c r="I640">
        <f>IF(OR(Datos!B640="",Datos!B641=""),"",(Datos!B641-Datos!B640)^2)</f>
        <v/>
      </c>
    </row>
    <row r="641">
      <c r="I641">
        <f>IF(OR(Datos!B641="",Datos!B642=""),"",(Datos!B642-Datos!B641)^2)</f>
        <v/>
      </c>
    </row>
    <row r="642">
      <c r="I642">
        <f>IF(OR(Datos!B642="",Datos!B643=""),"",(Datos!B643-Datos!B642)^2)</f>
        <v/>
      </c>
    </row>
    <row r="643">
      <c r="I643">
        <f>IF(OR(Datos!B643="",Datos!B644=""),"",(Datos!B644-Datos!B643)^2)</f>
        <v/>
      </c>
    </row>
    <row r="644">
      <c r="I644">
        <f>IF(OR(Datos!B644="",Datos!B645=""),"",(Datos!B645-Datos!B644)^2)</f>
        <v/>
      </c>
    </row>
    <row r="645">
      <c r="I645">
        <f>IF(OR(Datos!B645="",Datos!B646=""),"",(Datos!B646-Datos!B645)^2)</f>
        <v/>
      </c>
    </row>
    <row r="646">
      <c r="I646">
        <f>IF(OR(Datos!B646="",Datos!B647=""),"",(Datos!B647-Datos!B646)^2)</f>
        <v/>
      </c>
    </row>
    <row r="647">
      <c r="I647">
        <f>IF(OR(Datos!B647="",Datos!B648=""),"",(Datos!B648-Datos!B647)^2)</f>
        <v/>
      </c>
    </row>
    <row r="648">
      <c r="I648">
        <f>IF(OR(Datos!B648="",Datos!B649=""),"",(Datos!B649-Datos!B648)^2)</f>
        <v/>
      </c>
    </row>
    <row r="649">
      <c r="I649">
        <f>IF(OR(Datos!B649="",Datos!B650=""),"",(Datos!B650-Datos!B649)^2)</f>
        <v/>
      </c>
    </row>
    <row r="650">
      <c r="I650">
        <f>IF(OR(Datos!B650="",Datos!B651=""),"",(Datos!B651-Datos!B650)^2)</f>
        <v/>
      </c>
    </row>
    <row r="651">
      <c r="I651">
        <f>IF(OR(Datos!B651="",Datos!B652=""),"",(Datos!B652-Datos!B651)^2)</f>
        <v/>
      </c>
    </row>
    <row r="652">
      <c r="I652">
        <f>IF(OR(Datos!B652="",Datos!B653=""),"",(Datos!B653-Datos!B652)^2)</f>
        <v/>
      </c>
    </row>
    <row r="653">
      <c r="I653">
        <f>IF(OR(Datos!B653="",Datos!B654=""),"",(Datos!B654-Datos!B653)^2)</f>
        <v/>
      </c>
    </row>
    <row r="654">
      <c r="I654">
        <f>IF(OR(Datos!B654="",Datos!B655=""),"",(Datos!B655-Datos!B654)^2)</f>
        <v/>
      </c>
    </row>
    <row r="655">
      <c r="I655">
        <f>IF(OR(Datos!B655="",Datos!B656=""),"",(Datos!B656-Datos!B655)^2)</f>
        <v/>
      </c>
    </row>
    <row r="656">
      <c r="I656">
        <f>IF(OR(Datos!B656="",Datos!B657=""),"",(Datos!B657-Datos!B656)^2)</f>
        <v/>
      </c>
    </row>
    <row r="657">
      <c r="I657">
        <f>IF(OR(Datos!B657="",Datos!B658=""),"",(Datos!B658-Datos!B657)^2)</f>
        <v/>
      </c>
    </row>
    <row r="658">
      <c r="I658">
        <f>IF(OR(Datos!B658="",Datos!B659=""),"",(Datos!B659-Datos!B658)^2)</f>
        <v/>
      </c>
    </row>
    <row r="659">
      <c r="I659">
        <f>IF(OR(Datos!B659="",Datos!B660=""),"",(Datos!B660-Datos!B659)^2)</f>
        <v/>
      </c>
    </row>
    <row r="660">
      <c r="I660">
        <f>IF(OR(Datos!B660="",Datos!B661=""),"",(Datos!B661-Datos!B660)^2)</f>
        <v/>
      </c>
    </row>
    <row r="661">
      <c r="I661">
        <f>IF(OR(Datos!B661="",Datos!B662=""),"",(Datos!B662-Datos!B661)^2)</f>
        <v/>
      </c>
    </row>
    <row r="662">
      <c r="I662">
        <f>IF(OR(Datos!B662="",Datos!B663=""),"",(Datos!B663-Datos!B662)^2)</f>
        <v/>
      </c>
    </row>
    <row r="663">
      <c r="I663">
        <f>IF(OR(Datos!B663="",Datos!B664=""),"",(Datos!B664-Datos!B663)^2)</f>
        <v/>
      </c>
    </row>
    <row r="664">
      <c r="I664">
        <f>IF(OR(Datos!B664="",Datos!B665=""),"",(Datos!B665-Datos!B664)^2)</f>
        <v/>
      </c>
    </row>
    <row r="665">
      <c r="I665">
        <f>IF(OR(Datos!B665="",Datos!B666=""),"",(Datos!B666-Datos!B665)^2)</f>
        <v/>
      </c>
    </row>
    <row r="666">
      <c r="I666">
        <f>IF(OR(Datos!B666="",Datos!B667=""),"",(Datos!B667-Datos!B666)^2)</f>
        <v/>
      </c>
    </row>
    <row r="667">
      <c r="I667">
        <f>IF(OR(Datos!B667="",Datos!B668=""),"",(Datos!B668-Datos!B667)^2)</f>
        <v/>
      </c>
    </row>
    <row r="668">
      <c r="I668">
        <f>IF(OR(Datos!B668="",Datos!B669=""),"",(Datos!B669-Datos!B668)^2)</f>
        <v/>
      </c>
    </row>
    <row r="669">
      <c r="I669">
        <f>IF(OR(Datos!B669="",Datos!B670=""),"",(Datos!B670-Datos!B669)^2)</f>
        <v/>
      </c>
    </row>
    <row r="670">
      <c r="I670">
        <f>IF(OR(Datos!B670="",Datos!B671=""),"",(Datos!B671-Datos!B670)^2)</f>
        <v/>
      </c>
    </row>
    <row r="671">
      <c r="I671">
        <f>IF(OR(Datos!B671="",Datos!B672=""),"",(Datos!B672-Datos!B671)^2)</f>
        <v/>
      </c>
    </row>
    <row r="672">
      <c r="I672">
        <f>IF(OR(Datos!B672="",Datos!B673=""),"",(Datos!B673-Datos!B672)^2)</f>
        <v/>
      </c>
    </row>
    <row r="673">
      <c r="I673">
        <f>IF(OR(Datos!B673="",Datos!B674=""),"",(Datos!B674-Datos!B673)^2)</f>
        <v/>
      </c>
    </row>
    <row r="674">
      <c r="I674">
        <f>IF(OR(Datos!B674="",Datos!B675=""),"",(Datos!B675-Datos!B674)^2)</f>
        <v/>
      </c>
    </row>
    <row r="675">
      <c r="I675">
        <f>IF(OR(Datos!B675="",Datos!B676=""),"",(Datos!B676-Datos!B675)^2)</f>
        <v/>
      </c>
    </row>
    <row r="676">
      <c r="I676">
        <f>IF(OR(Datos!B676="",Datos!B677=""),"",(Datos!B677-Datos!B676)^2)</f>
        <v/>
      </c>
    </row>
    <row r="677">
      <c r="I677">
        <f>IF(OR(Datos!B677="",Datos!B678=""),"",(Datos!B678-Datos!B677)^2)</f>
        <v/>
      </c>
    </row>
    <row r="678">
      <c r="I678">
        <f>IF(OR(Datos!B678="",Datos!B679=""),"",(Datos!B679-Datos!B678)^2)</f>
        <v/>
      </c>
    </row>
    <row r="679">
      <c r="I679">
        <f>IF(OR(Datos!B679="",Datos!B680=""),"",(Datos!B680-Datos!B679)^2)</f>
        <v/>
      </c>
    </row>
    <row r="680">
      <c r="I680">
        <f>IF(OR(Datos!B680="",Datos!B681=""),"",(Datos!B681-Datos!B680)^2)</f>
        <v/>
      </c>
    </row>
    <row r="681">
      <c r="I681">
        <f>IF(OR(Datos!B681="",Datos!B682=""),"",(Datos!B682-Datos!B681)^2)</f>
        <v/>
      </c>
    </row>
    <row r="682">
      <c r="I682">
        <f>IF(OR(Datos!B682="",Datos!B683=""),"",(Datos!B683-Datos!B682)^2)</f>
        <v/>
      </c>
    </row>
    <row r="683">
      <c r="I683">
        <f>IF(OR(Datos!B683="",Datos!B684=""),"",(Datos!B684-Datos!B683)^2)</f>
        <v/>
      </c>
    </row>
    <row r="684">
      <c r="I684">
        <f>IF(OR(Datos!B684="",Datos!B685=""),"",(Datos!B685-Datos!B684)^2)</f>
        <v/>
      </c>
    </row>
    <row r="685">
      <c r="I685">
        <f>IF(OR(Datos!B685="",Datos!B686=""),"",(Datos!B686-Datos!B685)^2)</f>
        <v/>
      </c>
    </row>
    <row r="686">
      <c r="I686">
        <f>IF(OR(Datos!B686="",Datos!B687=""),"",(Datos!B687-Datos!B686)^2)</f>
        <v/>
      </c>
    </row>
    <row r="687">
      <c r="I687">
        <f>IF(OR(Datos!B687="",Datos!B688=""),"",(Datos!B688-Datos!B687)^2)</f>
        <v/>
      </c>
    </row>
    <row r="688">
      <c r="I688">
        <f>IF(OR(Datos!B688="",Datos!B689=""),"",(Datos!B689-Datos!B688)^2)</f>
        <v/>
      </c>
    </row>
    <row r="689">
      <c r="I689">
        <f>IF(OR(Datos!B689="",Datos!B690=""),"",(Datos!B690-Datos!B689)^2)</f>
        <v/>
      </c>
    </row>
    <row r="690">
      <c r="I690">
        <f>IF(OR(Datos!B690="",Datos!B691=""),"",(Datos!B691-Datos!B690)^2)</f>
        <v/>
      </c>
    </row>
    <row r="691">
      <c r="I691">
        <f>IF(OR(Datos!B691="",Datos!B692=""),"",(Datos!B692-Datos!B691)^2)</f>
        <v/>
      </c>
    </row>
    <row r="692">
      <c r="I692">
        <f>IF(OR(Datos!B692="",Datos!B693=""),"",(Datos!B693-Datos!B692)^2)</f>
        <v/>
      </c>
    </row>
    <row r="693">
      <c r="I693">
        <f>IF(OR(Datos!B693="",Datos!B694=""),"",(Datos!B694-Datos!B693)^2)</f>
        <v/>
      </c>
    </row>
    <row r="694">
      <c r="I694">
        <f>IF(OR(Datos!B694="",Datos!B695=""),"",(Datos!B695-Datos!B694)^2)</f>
        <v/>
      </c>
    </row>
    <row r="695">
      <c r="I695">
        <f>IF(OR(Datos!B695="",Datos!B696=""),"",(Datos!B696-Datos!B695)^2)</f>
        <v/>
      </c>
    </row>
    <row r="696">
      <c r="I696">
        <f>IF(OR(Datos!B696="",Datos!B697=""),"",(Datos!B697-Datos!B696)^2)</f>
        <v/>
      </c>
    </row>
    <row r="697">
      <c r="I697">
        <f>IF(OR(Datos!B697="",Datos!B698=""),"",(Datos!B698-Datos!B697)^2)</f>
        <v/>
      </c>
    </row>
    <row r="698">
      <c r="I698">
        <f>IF(OR(Datos!B698="",Datos!B699=""),"",(Datos!B699-Datos!B698)^2)</f>
        <v/>
      </c>
    </row>
    <row r="699">
      <c r="I699">
        <f>IF(OR(Datos!B699="",Datos!B700=""),"",(Datos!B700-Datos!B699)^2)</f>
        <v/>
      </c>
    </row>
    <row r="700">
      <c r="I700">
        <f>IF(OR(Datos!B700="",Datos!B701=""),"",(Datos!B701-Datos!B700)^2)</f>
        <v/>
      </c>
    </row>
    <row r="701">
      <c r="I701">
        <f>IF(OR(Datos!B701="",Datos!B702=""),"",(Datos!B702-Datos!B701)^2)</f>
        <v/>
      </c>
    </row>
    <row r="702">
      <c r="I702">
        <f>IF(OR(Datos!B702="",Datos!B703=""),"",(Datos!B703-Datos!B702)^2)</f>
        <v/>
      </c>
    </row>
    <row r="703">
      <c r="I703">
        <f>IF(OR(Datos!B703="",Datos!B704=""),"",(Datos!B704-Datos!B703)^2)</f>
        <v/>
      </c>
    </row>
    <row r="704">
      <c r="I704">
        <f>IF(OR(Datos!B704="",Datos!B705=""),"",(Datos!B705-Datos!B704)^2)</f>
        <v/>
      </c>
    </row>
    <row r="705">
      <c r="I705">
        <f>IF(OR(Datos!B705="",Datos!B706=""),"",(Datos!B706-Datos!B705)^2)</f>
        <v/>
      </c>
    </row>
    <row r="706">
      <c r="I706">
        <f>IF(OR(Datos!B706="",Datos!B707=""),"",(Datos!B707-Datos!B706)^2)</f>
        <v/>
      </c>
    </row>
    <row r="707">
      <c r="I707">
        <f>IF(OR(Datos!B707="",Datos!B708=""),"",(Datos!B708-Datos!B707)^2)</f>
        <v/>
      </c>
    </row>
    <row r="708">
      <c r="I708">
        <f>IF(OR(Datos!B708="",Datos!B709=""),"",(Datos!B709-Datos!B708)^2)</f>
        <v/>
      </c>
    </row>
    <row r="709">
      <c r="I709">
        <f>IF(OR(Datos!B709="",Datos!B710=""),"",(Datos!B710-Datos!B709)^2)</f>
        <v/>
      </c>
    </row>
    <row r="710">
      <c r="I710">
        <f>IF(OR(Datos!B710="",Datos!B711=""),"",(Datos!B711-Datos!B710)^2)</f>
        <v/>
      </c>
    </row>
    <row r="711">
      <c r="I711">
        <f>IF(OR(Datos!B711="",Datos!B712=""),"",(Datos!B712-Datos!B711)^2)</f>
        <v/>
      </c>
    </row>
    <row r="712">
      <c r="I712">
        <f>IF(OR(Datos!B712="",Datos!B713=""),"",(Datos!B713-Datos!B712)^2)</f>
        <v/>
      </c>
    </row>
    <row r="713">
      <c r="I713">
        <f>IF(OR(Datos!B713="",Datos!B714=""),"",(Datos!B714-Datos!B713)^2)</f>
        <v/>
      </c>
    </row>
    <row r="714">
      <c r="I714">
        <f>IF(OR(Datos!B714="",Datos!B715=""),"",(Datos!B715-Datos!B714)^2)</f>
        <v/>
      </c>
    </row>
    <row r="715">
      <c r="I715">
        <f>IF(OR(Datos!B715="",Datos!B716=""),"",(Datos!B716-Datos!B715)^2)</f>
        <v/>
      </c>
    </row>
    <row r="716">
      <c r="I716">
        <f>IF(OR(Datos!B716="",Datos!B717=""),"",(Datos!B717-Datos!B716)^2)</f>
        <v/>
      </c>
    </row>
    <row r="717">
      <c r="I717">
        <f>IF(OR(Datos!B717="",Datos!B718=""),"",(Datos!B718-Datos!B717)^2)</f>
        <v/>
      </c>
    </row>
    <row r="718">
      <c r="I718">
        <f>IF(OR(Datos!B718="",Datos!B719=""),"",(Datos!B719-Datos!B718)^2)</f>
        <v/>
      </c>
    </row>
    <row r="719">
      <c r="I719">
        <f>IF(OR(Datos!B719="",Datos!B720=""),"",(Datos!B720-Datos!B719)^2)</f>
        <v/>
      </c>
    </row>
    <row r="720">
      <c r="I720">
        <f>IF(OR(Datos!B720="",Datos!B721=""),"",(Datos!B721-Datos!B720)^2)</f>
        <v/>
      </c>
    </row>
    <row r="721">
      <c r="I721">
        <f>IF(OR(Datos!B721="",Datos!B722=""),"",(Datos!B722-Datos!B721)^2)</f>
        <v/>
      </c>
    </row>
    <row r="722">
      <c r="I722">
        <f>IF(OR(Datos!B722="",Datos!B723=""),"",(Datos!B723-Datos!B722)^2)</f>
        <v/>
      </c>
    </row>
    <row r="723">
      <c r="I723">
        <f>IF(OR(Datos!B723="",Datos!B724=""),"",(Datos!B724-Datos!B723)^2)</f>
        <v/>
      </c>
    </row>
    <row r="724">
      <c r="I724">
        <f>IF(OR(Datos!B724="",Datos!B725=""),"",(Datos!B725-Datos!B724)^2)</f>
        <v/>
      </c>
    </row>
    <row r="725">
      <c r="I725">
        <f>IF(OR(Datos!B725="",Datos!B726=""),"",(Datos!B726-Datos!B725)^2)</f>
        <v/>
      </c>
    </row>
    <row r="726">
      <c r="I726">
        <f>IF(OR(Datos!B726="",Datos!B727=""),"",(Datos!B727-Datos!B726)^2)</f>
        <v/>
      </c>
    </row>
    <row r="727">
      <c r="I727">
        <f>IF(OR(Datos!B727="",Datos!B728=""),"",(Datos!B728-Datos!B727)^2)</f>
        <v/>
      </c>
    </row>
    <row r="728">
      <c r="I728">
        <f>IF(OR(Datos!B728="",Datos!B729=""),"",(Datos!B729-Datos!B728)^2)</f>
        <v/>
      </c>
    </row>
    <row r="729">
      <c r="I729">
        <f>IF(OR(Datos!B729="",Datos!B730=""),"",(Datos!B730-Datos!B729)^2)</f>
        <v/>
      </c>
    </row>
    <row r="730">
      <c r="I730">
        <f>IF(OR(Datos!B730="",Datos!B731=""),"",(Datos!B731-Datos!B730)^2)</f>
        <v/>
      </c>
    </row>
    <row r="731">
      <c r="I731">
        <f>IF(OR(Datos!B731="",Datos!B732=""),"",(Datos!B732-Datos!B731)^2)</f>
        <v/>
      </c>
    </row>
    <row r="732">
      <c r="I732">
        <f>IF(OR(Datos!B732="",Datos!B733=""),"",(Datos!B733-Datos!B732)^2)</f>
        <v/>
      </c>
    </row>
    <row r="733">
      <c r="I733">
        <f>IF(OR(Datos!B733="",Datos!B734=""),"",(Datos!B734-Datos!B733)^2)</f>
        <v/>
      </c>
    </row>
    <row r="734">
      <c r="I734">
        <f>IF(OR(Datos!B734="",Datos!B735=""),"",(Datos!B735-Datos!B734)^2)</f>
        <v/>
      </c>
    </row>
    <row r="735">
      <c r="I735">
        <f>IF(OR(Datos!B735="",Datos!B736=""),"",(Datos!B736-Datos!B735)^2)</f>
        <v/>
      </c>
    </row>
    <row r="736">
      <c r="I736">
        <f>IF(OR(Datos!B736="",Datos!B737=""),"",(Datos!B737-Datos!B736)^2)</f>
        <v/>
      </c>
    </row>
    <row r="737">
      <c r="I737">
        <f>IF(OR(Datos!B737="",Datos!B738=""),"",(Datos!B738-Datos!B737)^2)</f>
        <v/>
      </c>
    </row>
    <row r="738">
      <c r="I738">
        <f>IF(OR(Datos!B738="",Datos!B739=""),"",(Datos!B739-Datos!B738)^2)</f>
        <v/>
      </c>
    </row>
    <row r="739">
      <c r="I739">
        <f>IF(OR(Datos!B739="",Datos!B740=""),"",(Datos!B740-Datos!B739)^2)</f>
        <v/>
      </c>
    </row>
    <row r="740">
      <c r="I740">
        <f>IF(OR(Datos!B740="",Datos!B741=""),"",(Datos!B741-Datos!B740)^2)</f>
        <v/>
      </c>
    </row>
    <row r="741">
      <c r="I741">
        <f>IF(OR(Datos!B741="",Datos!B742=""),"",(Datos!B742-Datos!B741)^2)</f>
        <v/>
      </c>
    </row>
    <row r="742">
      <c r="I742">
        <f>IF(OR(Datos!B742="",Datos!B743=""),"",(Datos!B743-Datos!B742)^2)</f>
        <v/>
      </c>
    </row>
    <row r="743">
      <c r="I743">
        <f>IF(OR(Datos!B743="",Datos!B744=""),"",(Datos!B744-Datos!B743)^2)</f>
        <v/>
      </c>
    </row>
    <row r="744">
      <c r="I744">
        <f>IF(OR(Datos!B744="",Datos!B745=""),"",(Datos!B745-Datos!B744)^2)</f>
        <v/>
      </c>
    </row>
    <row r="745">
      <c r="I745">
        <f>IF(OR(Datos!B745="",Datos!B746=""),"",(Datos!B746-Datos!B745)^2)</f>
        <v/>
      </c>
    </row>
    <row r="746">
      <c r="I746">
        <f>IF(OR(Datos!B746="",Datos!B747=""),"",(Datos!B747-Datos!B746)^2)</f>
        <v/>
      </c>
    </row>
    <row r="747">
      <c r="I747">
        <f>IF(OR(Datos!B747="",Datos!B748=""),"",(Datos!B748-Datos!B747)^2)</f>
        <v/>
      </c>
    </row>
    <row r="748">
      <c r="I748">
        <f>IF(OR(Datos!B748="",Datos!B749=""),"",(Datos!B749-Datos!B748)^2)</f>
        <v/>
      </c>
    </row>
    <row r="749">
      <c r="I749">
        <f>IF(OR(Datos!B749="",Datos!B750=""),"",(Datos!B750-Datos!B749)^2)</f>
        <v/>
      </c>
    </row>
    <row r="750">
      <c r="I750">
        <f>IF(OR(Datos!B750="",Datos!B751=""),"",(Datos!B751-Datos!B750)^2)</f>
        <v/>
      </c>
    </row>
    <row r="751">
      <c r="I751">
        <f>IF(OR(Datos!B751="",Datos!B752=""),"",(Datos!B752-Datos!B751)^2)</f>
        <v/>
      </c>
    </row>
    <row r="752">
      <c r="I752">
        <f>IF(OR(Datos!B752="",Datos!B753=""),"",(Datos!B753-Datos!B752)^2)</f>
        <v/>
      </c>
    </row>
    <row r="753">
      <c r="I753">
        <f>IF(OR(Datos!B753="",Datos!B754=""),"",(Datos!B754-Datos!B753)^2)</f>
        <v/>
      </c>
    </row>
    <row r="754">
      <c r="I754">
        <f>IF(OR(Datos!B754="",Datos!B755=""),"",(Datos!B755-Datos!B754)^2)</f>
        <v/>
      </c>
    </row>
    <row r="755">
      <c r="I755">
        <f>IF(OR(Datos!B755="",Datos!B756=""),"",(Datos!B756-Datos!B755)^2)</f>
        <v/>
      </c>
    </row>
    <row r="756">
      <c r="I756">
        <f>IF(OR(Datos!B756="",Datos!B757=""),"",(Datos!B757-Datos!B756)^2)</f>
        <v/>
      </c>
    </row>
    <row r="757">
      <c r="I757">
        <f>IF(OR(Datos!B757="",Datos!B758=""),"",(Datos!B758-Datos!B757)^2)</f>
        <v/>
      </c>
    </row>
    <row r="758">
      <c r="I758">
        <f>IF(OR(Datos!B758="",Datos!B759=""),"",(Datos!B759-Datos!B758)^2)</f>
        <v/>
      </c>
    </row>
    <row r="759">
      <c r="I759">
        <f>IF(OR(Datos!B759="",Datos!B760=""),"",(Datos!B760-Datos!B759)^2)</f>
        <v/>
      </c>
    </row>
    <row r="760">
      <c r="I760">
        <f>IF(OR(Datos!B760="",Datos!B761=""),"",(Datos!B761-Datos!B760)^2)</f>
        <v/>
      </c>
    </row>
    <row r="761">
      <c r="I761">
        <f>IF(OR(Datos!B761="",Datos!B762=""),"",(Datos!B762-Datos!B761)^2)</f>
        <v/>
      </c>
    </row>
    <row r="762">
      <c r="I762">
        <f>IF(OR(Datos!B762="",Datos!B763=""),"",(Datos!B763-Datos!B762)^2)</f>
        <v/>
      </c>
    </row>
    <row r="763">
      <c r="I763">
        <f>IF(OR(Datos!B763="",Datos!B764=""),"",(Datos!B764-Datos!B763)^2)</f>
        <v/>
      </c>
    </row>
    <row r="764">
      <c r="I764">
        <f>IF(OR(Datos!B764="",Datos!B765=""),"",(Datos!B765-Datos!B764)^2)</f>
        <v/>
      </c>
    </row>
    <row r="765">
      <c r="I765">
        <f>IF(OR(Datos!B765="",Datos!B766=""),"",(Datos!B766-Datos!B765)^2)</f>
        <v/>
      </c>
    </row>
    <row r="766">
      <c r="I766">
        <f>IF(OR(Datos!B766="",Datos!B767=""),"",(Datos!B767-Datos!B766)^2)</f>
        <v/>
      </c>
    </row>
    <row r="767">
      <c r="I767">
        <f>IF(OR(Datos!B767="",Datos!B768=""),"",(Datos!B768-Datos!B767)^2)</f>
        <v/>
      </c>
    </row>
    <row r="768">
      <c r="I768">
        <f>IF(OR(Datos!B768="",Datos!B769=""),"",(Datos!B769-Datos!B768)^2)</f>
        <v/>
      </c>
    </row>
    <row r="769">
      <c r="I769">
        <f>IF(OR(Datos!B769="",Datos!B770=""),"",(Datos!B770-Datos!B769)^2)</f>
        <v/>
      </c>
    </row>
    <row r="770">
      <c r="I770">
        <f>IF(OR(Datos!B770="",Datos!B771=""),"",(Datos!B771-Datos!B770)^2)</f>
        <v/>
      </c>
    </row>
    <row r="771">
      <c r="I771">
        <f>IF(OR(Datos!B771="",Datos!B772=""),"",(Datos!B772-Datos!B771)^2)</f>
        <v/>
      </c>
    </row>
    <row r="772">
      <c r="I772">
        <f>IF(OR(Datos!B772="",Datos!B773=""),"",(Datos!B773-Datos!B772)^2)</f>
        <v/>
      </c>
    </row>
    <row r="773">
      <c r="I773">
        <f>IF(OR(Datos!B773="",Datos!B774=""),"",(Datos!B774-Datos!B773)^2)</f>
        <v/>
      </c>
    </row>
    <row r="774">
      <c r="I774">
        <f>IF(OR(Datos!B774="",Datos!B775=""),"",(Datos!B775-Datos!B774)^2)</f>
        <v/>
      </c>
    </row>
    <row r="775">
      <c r="I775">
        <f>IF(OR(Datos!B775="",Datos!B776=""),"",(Datos!B776-Datos!B775)^2)</f>
        <v/>
      </c>
    </row>
    <row r="776">
      <c r="I776">
        <f>IF(OR(Datos!B776="",Datos!B777=""),"",(Datos!B777-Datos!B776)^2)</f>
        <v/>
      </c>
    </row>
    <row r="777">
      <c r="I777">
        <f>IF(OR(Datos!B777="",Datos!B778=""),"",(Datos!B778-Datos!B777)^2)</f>
        <v/>
      </c>
    </row>
    <row r="778">
      <c r="I778">
        <f>IF(OR(Datos!B778="",Datos!B779=""),"",(Datos!B779-Datos!B778)^2)</f>
        <v/>
      </c>
    </row>
    <row r="779">
      <c r="I779">
        <f>IF(OR(Datos!B779="",Datos!B780=""),"",(Datos!B780-Datos!B779)^2)</f>
        <v/>
      </c>
    </row>
    <row r="780">
      <c r="I780">
        <f>IF(OR(Datos!B780="",Datos!B781=""),"",(Datos!B781-Datos!B780)^2)</f>
        <v/>
      </c>
    </row>
    <row r="781">
      <c r="I781">
        <f>IF(OR(Datos!B781="",Datos!B782=""),"",(Datos!B782-Datos!B781)^2)</f>
        <v/>
      </c>
    </row>
    <row r="782">
      <c r="I782">
        <f>IF(OR(Datos!B782="",Datos!B783=""),"",(Datos!B783-Datos!B782)^2)</f>
        <v/>
      </c>
    </row>
    <row r="783">
      <c r="I783">
        <f>IF(OR(Datos!B783="",Datos!B784=""),"",(Datos!B784-Datos!B783)^2)</f>
        <v/>
      </c>
    </row>
    <row r="784">
      <c r="I784">
        <f>IF(OR(Datos!B784="",Datos!B785=""),"",(Datos!B785-Datos!B784)^2)</f>
        <v/>
      </c>
    </row>
    <row r="785">
      <c r="I785">
        <f>IF(OR(Datos!B785="",Datos!B786=""),"",(Datos!B786-Datos!B785)^2)</f>
        <v/>
      </c>
    </row>
    <row r="786">
      <c r="I786">
        <f>IF(OR(Datos!B786="",Datos!B787=""),"",(Datos!B787-Datos!B786)^2)</f>
        <v/>
      </c>
    </row>
    <row r="787">
      <c r="I787">
        <f>IF(OR(Datos!B787="",Datos!B788=""),"",(Datos!B788-Datos!B787)^2)</f>
        <v/>
      </c>
    </row>
    <row r="788">
      <c r="I788">
        <f>IF(OR(Datos!B788="",Datos!B789=""),"",(Datos!B789-Datos!B788)^2)</f>
        <v/>
      </c>
    </row>
    <row r="789">
      <c r="I789">
        <f>IF(OR(Datos!B789="",Datos!B790=""),"",(Datos!B790-Datos!B789)^2)</f>
        <v/>
      </c>
    </row>
    <row r="790">
      <c r="I790">
        <f>IF(OR(Datos!B790="",Datos!B791=""),"",(Datos!B791-Datos!B790)^2)</f>
        <v/>
      </c>
    </row>
    <row r="791">
      <c r="I791">
        <f>IF(OR(Datos!B791="",Datos!B792=""),"",(Datos!B792-Datos!B791)^2)</f>
        <v/>
      </c>
    </row>
    <row r="792">
      <c r="I792">
        <f>IF(OR(Datos!B792="",Datos!B793=""),"",(Datos!B793-Datos!B792)^2)</f>
        <v/>
      </c>
    </row>
    <row r="793">
      <c r="I793">
        <f>IF(OR(Datos!B793="",Datos!B794=""),"",(Datos!B794-Datos!B793)^2)</f>
        <v/>
      </c>
    </row>
    <row r="794">
      <c r="I794">
        <f>IF(OR(Datos!B794="",Datos!B795=""),"",(Datos!B795-Datos!B794)^2)</f>
        <v/>
      </c>
    </row>
    <row r="795">
      <c r="I795">
        <f>IF(OR(Datos!B795="",Datos!B796=""),"",(Datos!B796-Datos!B795)^2)</f>
        <v/>
      </c>
    </row>
    <row r="796">
      <c r="I796">
        <f>IF(OR(Datos!B796="",Datos!B797=""),"",(Datos!B797-Datos!B796)^2)</f>
        <v/>
      </c>
    </row>
    <row r="797">
      <c r="I797">
        <f>IF(OR(Datos!B797="",Datos!B798=""),"",(Datos!B798-Datos!B797)^2)</f>
        <v/>
      </c>
    </row>
    <row r="798">
      <c r="I798">
        <f>IF(OR(Datos!B798="",Datos!B799=""),"",(Datos!B799-Datos!B798)^2)</f>
        <v/>
      </c>
    </row>
    <row r="799">
      <c r="I799">
        <f>IF(OR(Datos!B799="",Datos!B800=""),"",(Datos!B800-Datos!B799)^2)</f>
        <v/>
      </c>
    </row>
    <row r="800">
      <c r="I800">
        <f>IF(OR(Datos!B800="",Datos!B801=""),"",(Datos!B801-Datos!B800)^2)</f>
        <v/>
      </c>
    </row>
    <row r="801">
      <c r="I801">
        <f>IF(OR(Datos!B801="",Datos!B802=""),"",(Datos!B802-Datos!B801)^2)</f>
        <v/>
      </c>
    </row>
    <row r="802">
      <c r="I802">
        <f>IF(OR(Datos!B802="",Datos!B803=""),"",(Datos!B803-Datos!B802)^2)</f>
        <v/>
      </c>
    </row>
    <row r="803">
      <c r="I803">
        <f>IF(OR(Datos!B803="",Datos!B804=""),"",(Datos!B804-Datos!B803)^2)</f>
        <v/>
      </c>
    </row>
    <row r="804">
      <c r="I804">
        <f>IF(OR(Datos!B804="",Datos!B805=""),"",(Datos!B805-Datos!B804)^2)</f>
        <v/>
      </c>
    </row>
    <row r="805">
      <c r="I805">
        <f>IF(OR(Datos!B805="",Datos!B806=""),"",(Datos!B806-Datos!B805)^2)</f>
        <v/>
      </c>
    </row>
    <row r="806">
      <c r="I806">
        <f>IF(OR(Datos!B806="",Datos!B807=""),"",(Datos!B807-Datos!B806)^2)</f>
        <v/>
      </c>
    </row>
    <row r="807">
      <c r="I807">
        <f>IF(OR(Datos!B807="",Datos!B808=""),"",(Datos!B808-Datos!B807)^2)</f>
        <v/>
      </c>
    </row>
    <row r="808">
      <c r="I808">
        <f>IF(OR(Datos!B808="",Datos!B809=""),"",(Datos!B809-Datos!B808)^2)</f>
        <v/>
      </c>
    </row>
    <row r="809">
      <c r="I809">
        <f>IF(OR(Datos!B809="",Datos!B810=""),"",(Datos!B810-Datos!B809)^2)</f>
        <v/>
      </c>
    </row>
    <row r="810">
      <c r="I810">
        <f>IF(OR(Datos!B810="",Datos!B811=""),"",(Datos!B811-Datos!B810)^2)</f>
        <v/>
      </c>
    </row>
    <row r="811">
      <c r="I811">
        <f>IF(OR(Datos!B811="",Datos!B812=""),"",(Datos!B812-Datos!B811)^2)</f>
        <v/>
      </c>
    </row>
    <row r="812">
      <c r="I812">
        <f>IF(OR(Datos!B812="",Datos!B813=""),"",(Datos!B813-Datos!B812)^2)</f>
        <v/>
      </c>
    </row>
    <row r="813">
      <c r="I813">
        <f>IF(OR(Datos!B813="",Datos!B814=""),"",(Datos!B814-Datos!B813)^2)</f>
        <v/>
      </c>
    </row>
    <row r="814">
      <c r="I814">
        <f>IF(OR(Datos!B814="",Datos!B815=""),"",(Datos!B815-Datos!B814)^2)</f>
        <v/>
      </c>
    </row>
    <row r="815">
      <c r="I815">
        <f>IF(OR(Datos!B815="",Datos!B816=""),"",(Datos!B816-Datos!B815)^2)</f>
        <v/>
      </c>
    </row>
    <row r="816">
      <c r="I816">
        <f>IF(OR(Datos!B816="",Datos!B817=""),"",(Datos!B817-Datos!B816)^2)</f>
        <v/>
      </c>
    </row>
    <row r="817">
      <c r="I817">
        <f>IF(OR(Datos!B817="",Datos!B818=""),"",(Datos!B818-Datos!B817)^2)</f>
        <v/>
      </c>
    </row>
    <row r="818">
      <c r="I818">
        <f>IF(OR(Datos!B818="",Datos!B819=""),"",(Datos!B819-Datos!B818)^2)</f>
        <v/>
      </c>
    </row>
    <row r="819">
      <c r="I819">
        <f>IF(OR(Datos!B819="",Datos!B820=""),"",(Datos!B820-Datos!B819)^2)</f>
        <v/>
      </c>
    </row>
    <row r="820">
      <c r="I820">
        <f>IF(OR(Datos!B820="",Datos!B821=""),"",(Datos!B821-Datos!B820)^2)</f>
        <v/>
      </c>
    </row>
    <row r="821">
      <c r="I821">
        <f>IF(OR(Datos!B821="",Datos!B822=""),"",(Datos!B822-Datos!B821)^2)</f>
        <v/>
      </c>
    </row>
    <row r="822">
      <c r="I822">
        <f>IF(OR(Datos!B822="",Datos!B823=""),"",(Datos!B823-Datos!B822)^2)</f>
        <v/>
      </c>
    </row>
    <row r="823">
      <c r="I823">
        <f>IF(OR(Datos!B823="",Datos!B824=""),"",(Datos!B824-Datos!B823)^2)</f>
        <v/>
      </c>
    </row>
    <row r="824">
      <c r="I824">
        <f>IF(OR(Datos!B824="",Datos!B825=""),"",(Datos!B825-Datos!B824)^2)</f>
        <v/>
      </c>
    </row>
    <row r="825">
      <c r="I825">
        <f>IF(OR(Datos!B825="",Datos!B826=""),"",(Datos!B826-Datos!B825)^2)</f>
        <v/>
      </c>
    </row>
    <row r="826">
      <c r="I826">
        <f>IF(OR(Datos!B826="",Datos!B827=""),"",(Datos!B827-Datos!B826)^2)</f>
        <v/>
      </c>
    </row>
    <row r="827">
      <c r="I827">
        <f>IF(OR(Datos!B827="",Datos!B828=""),"",(Datos!B828-Datos!B827)^2)</f>
        <v/>
      </c>
    </row>
    <row r="828">
      <c r="I828">
        <f>IF(OR(Datos!B828="",Datos!B829=""),"",(Datos!B829-Datos!B828)^2)</f>
        <v/>
      </c>
    </row>
    <row r="829">
      <c r="I829">
        <f>IF(OR(Datos!B829="",Datos!B830=""),"",(Datos!B830-Datos!B829)^2)</f>
        <v/>
      </c>
    </row>
    <row r="830">
      <c r="I830">
        <f>IF(OR(Datos!B830="",Datos!B831=""),"",(Datos!B831-Datos!B830)^2)</f>
        <v/>
      </c>
    </row>
    <row r="831">
      <c r="I831">
        <f>IF(OR(Datos!B831="",Datos!B832=""),"",(Datos!B832-Datos!B831)^2)</f>
        <v/>
      </c>
    </row>
    <row r="832">
      <c r="I832">
        <f>IF(OR(Datos!B832="",Datos!B833=""),"",(Datos!B833-Datos!B832)^2)</f>
        <v/>
      </c>
    </row>
    <row r="833">
      <c r="I833">
        <f>IF(OR(Datos!B833="",Datos!B834=""),"",(Datos!B834-Datos!B833)^2)</f>
        <v/>
      </c>
    </row>
    <row r="834">
      <c r="I834">
        <f>IF(OR(Datos!B834="",Datos!B835=""),"",(Datos!B835-Datos!B834)^2)</f>
        <v/>
      </c>
    </row>
    <row r="835">
      <c r="I835">
        <f>IF(OR(Datos!B835="",Datos!B836=""),"",(Datos!B836-Datos!B835)^2)</f>
        <v/>
      </c>
    </row>
    <row r="836">
      <c r="I836">
        <f>IF(OR(Datos!B836="",Datos!B837=""),"",(Datos!B837-Datos!B836)^2)</f>
        <v/>
      </c>
    </row>
    <row r="837">
      <c r="I837">
        <f>IF(OR(Datos!B837="",Datos!B838=""),"",(Datos!B838-Datos!B837)^2)</f>
        <v/>
      </c>
    </row>
    <row r="838">
      <c r="I838">
        <f>IF(OR(Datos!B838="",Datos!B839=""),"",(Datos!B839-Datos!B838)^2)</f>
        <v/>
      </c>
    </row>
    <row r="839">
      <c r="I839">
        <f>IF(OR(Datos!B839="",Datos!B840=""),"",(Datos!B840-Datos!B839)^2)</f>
        <v/>
      </c>
    </row>
    <row r="840">
      <c r="I840">
        <f>IF(OR(Datos!B840="",Datos!B841=""),"",(Datos!B841-Datos!B840)^2)</f>
        <v/>
      </c>
    </row>
    <row r="841">
      <c r="I841">
        <f>IF(OR(Datos!B841="",Datos!B842=""),"",(Datos!B842-Datos!B841)^2)</f>
        <v/>
      </c>
    </row>
    <row r="842">
      <c r="I842">
        <f>IF(OR(Datos!B842="",Datos!B843=""),"",(Datos!B843-Datos!B842)^2)</f>
        <v/>
      </c>
    </row>
    <row r="843">
      <c r="I843">
        <f>IF(OR(Datos!B843="",Datos!B844=""),"",(Datos!B844-Datos!B843)^2)</f>
        <v/>
      </c>
    </row>
    <row r="844">
      <c r="I844">
        <f>IF(OR(Datos!B844="",Datos!B845=""),"",(Datos!B845-Datos!B844)^2)</f>
        <v/>
      </c>
    </row>
    <row r="845">
      <c r="I845">
        <f>IF(OR(Datos!B845="",Datos!B846=""),"",(Datos!B846-Datos!B845)^2)</f>
        <v/>
      </c>
    </row>
    <row r="846">
      <c r="I846">
        <f>IF(OR(Datos!B846="",Datos!B847=""),"",(Datos!B847-Datos!B846)^2)</f>
        <v/>
      </c>
    </row>
    <row r="847">
      <c r="I847">
        <f>IF(OR(Datos!B847="",Datos!B848=""),"",(Datos!B848-Datos!B847)^2)</f>
        <v/>
      </c>
    </row>
    <row r="848">
      <c r="I848">
        <f>IF(OR(Datos!B848="",Datos!B849=""),"",(Datos!B849-Datos!B848)^2)</f>
        <v/>
      </c>
    </row>
    <row r="849">
      <c r="I849">
        <f>IF(OR(Datos!B849="",Datos!B850=""),"",(Datos!B850-Datos!B849)^2)</f>
        <v/>
      </c>
    </row>
    <row r="850">
      <c r="I850">
        <f>IF(OR(Datos!B850="",Datos!B851=""),"",(Datos!B851-Datos!B850)^2)</f>
        <v/>
      </c>
    </row>
    <row r="851">
      <c r="I851">
        <f>IF(OR(Datos!B851="",Datos!B852=""),"",(Datos!B852-Datos!B851)^2)</f>
        <v/>
      </c>
    </row>
    <row r="852">
      <c r="I852">
        <f>IF(OR(Datos!B852="",Datos!B853=""),"",(Datos!B853-Datos!B852)^2)</f>
        <v/>
      </c>
    </row>
    <row r="853">
      <c r="I853">
        <f>IF(OR(Datos!B853="",Datos!B854=""),"",(Datos!B854-Datos!B853)^2)</f>
        <v/>
      </c>
    </row>
    <row r="854">
      <c r="I854">
        <f>IF(OR(Datos!B854="",Datos!B855=""),"",(Datos!B855-Datos!B854)^2)</f>
        <v/>
      </c>
    </row>
    <row r="855">
      <c r="I855">
        <f>IF(OR(Datos!B855="",Datos!B856=""),"",(Datos!B856-Datos!B855)^2)</f>
        <v/>
      </c>
    </row>
    <row r="856">
      <c r="I856">
        <f>IF(OR(Datos!B856="",Datos!B857=""),"",(Datos!B857-Datos!B856)^2)</f>
        <v/>
      </c>
    </row>
    <row r="857">
      <c r="I857">
        <f>IF(OR(Datos!B857="",Datos!B858=""),"",(Datos!B858-Datos!B857)^2)</f>
        <v/>
      </c>
    </row>
    <row r="858">
      <c r="I858">
        <f>IF(OR(Datos!B858="",Datos!B859=""),"",(Datos!B859-Datos!B858)^2)</f>
        <v/>
      </c>
    </row>
    <row r="859">
      <c r="I859">
        <f>IF(OR(Datos!B859="",Datos!B860=""),"",(Datos!B860-Datos!B859)^2)</f>
        <v/>
      </c>
    </row>
    <row r="860">
      <c r="I860">
        <f>IF(OR(Datos!B860="",Datos!B861=""),"",(Datos!B861-Datos!B860)^2)</f>
        <v/>
      </c>
    </row>
    <row r="861">
      <c r="I861">
        <f>IF(OR(Datos!B861="",Datos!B862=""),"",(Datos!B862-Datos!B861)^2)</f>
        <v/>
      </c>
    </row>
    <row r="862">
      <c r="I862">
        <f>IF(OR(Datos!B862="",Datos!B863=""),"",(Datos!B863-Datos!B862)^2)</f>
        <v/>
      </c>
    </row>
    <row r="863">
      <c r="I863">
        <f>IF(OR(Datos!B863="",Datos!B864=""),"",(Datos!B864-Datos!B863)^2)</f>
        <v/>
      </c>
    </row>
    <row r="864">
      <c r="I864">
        <f>IF(OR(Datos!B864="",Datos!B865=""),"",(Datos!B865-Datos!B864)^2)</f>
        <v/>
      </c>
    </row>
    <row r="865">
      <c r="I865">
        <f>IF(OR(Datos!B865="",Datos!B866=""),"",(Datos!B866-Datos!B865)^2)</f>
        <v/>
      </c>
    </row>
    <row r="866">
      <c r="I866">
        <f>IF(OR(Datos!B866="",Datos!B867=""),"",(Datos!B867-Datos!B866)^2)</f>
        <v/>
      </c>
    </row>
    <row r="867">
      <c r="I867">
        <f>IF(OR(Datos!B867="",Datos!B868=""),"",(Datos!B868-Datos!B867)^2)</f>
        <v/>
      </c>
    </row>
    <row r="868">
      <c r="I868">
        <f>IF(OR(Datos!B868="",Datos!B869=""),"",(Datos!B869-Datos!B868)^2)</f>
        <v/>
      </c>
    </row>
    <row r="869">
      <c r="I869">
        <f>IF(OR(Datos!B869="",Datos!B870=""),"",(Datos!B870-Datos!B869)^2)</f>
        <v/>
      </c>
    </row>
    <row r="870">
      <c r="I870">
        <f>IF(OR(Datos!B870="",Datos!B871=""),"",(Datos!B871-Datos!B870)^2)</f>
        <v/>
      </c>
    </row>
    <row r="871">
      <c r="I871">
        <f>IF(OR(Datos!B871="",Datos!B872=""),"",(Datos!B872-Datos!B871)^2)</f>
        <v/>
      </c>
    </row>
    <row r="872">
      <c r="I872">
        <f>IF(OR(Datos!B872="",Datos!B873=""),"",(Datos!B873-Datos!B872)^2)</f>
        <v/>
      </c>
    </row>
    <row r="873">
      <c r="I873">
        <f>IF(OR(Datos!B873="",Datos!B874=""),"",(Datos!B874-Datos!B873)^2)</f>
        <v/>
      </c>
    </row>
    <row r="874">
      <c r="I874">
        <f>IF(OR(Datos!B874="",Datos!B875=""),"",(Datos!B875-Datos!B874)^2)</f>
        <v/>
      </c>
    </row>
    <row r="875">
      <c r="I875">
        <f>IF(OR(Datos!B875="",Datos!B876=""),"",(Datos!B876-Datos!B875)^2)</f>
        <v/>
      </c>
    </row>
    <row r="876">
      <c r="I876">
        <f>IF(OR(Datos!B876="",Datos!B877=""),"",(Datos!B877-Datos!B876)^2)</f>
        <v/>
      </c>
    </row>
    <row r="877">
      <c r="I877">
        <f>IF(OR(Datos!B877="",Datos!B878=""),"",(Datos!B878-Datos!B877)^2)</f>
        <v/>
      </c>
    </row>
    <row r="878">
      <c r="I878">
        <f>IF(OR(Datos!B878="",Datos!B879=""),"",(Datos!B879-Datos!B878)^2)</f>
        <v/>
      </c>
    </row>
    <row r="879">
      <c r="I879">
        <f>IF(OR(Datos!B879="",Datos!B880=""),"",(Datos!B880-Datos!B879)^2)</f>
        <v/>
      </c>
    </row>
    <row r="880">
      <c r="I880">
        <f>IF(OR(Datos!B880="",Datos!B881=""),"",(Datos!B881-Datos!B880)^2)</f>
        <v/>
      </c>
    </row>
    <row r="881">
      <c r="I881">
        <f>IF(OR(Datos!B881="",Datos!B882=""),"",(Datos!B882-Datos!B881)^2)</f>
        <v/>
      </c>
    </row>
    <row r="882">
      <c r="I882">
        <f>IF(OR(Datos!B882="",Datos!B883=""),"",(Datos!B883-Datos!B882)^2)</f>
        <v/>
      </c>
    </row>
    <row r="883">
      <c r="I883">
        <f>IF(OR(Datos!B883="",Datos!B884=""),"",(Datos!B884-Datos!B883)^2)</f>
        <v/>
      </c>
    </row>
    <row r="884">
      <c r="I884">
        <f>IF(OR(Datos!B884="",Datos!B885=""),"",(Datos!B885-Datos!B884)^2)</f>
        <v/>
      </c>
    </row>
    <row r="885">
      <c r="I885">
        <f>IF(OR(Datos!B885="",Datos!B886=""),"",(Datos!B886-Datos!B885)^2)</f>
        <v/>
      </c>
    </row>
    <row r="886">
      <c r="I886">
        <f>IF(OR(Datos!B886="",Datos!B887=""),"",(Datos!B887-Datos!B886)^2)</f>
        <v/>
      </c>
    </row>
    <row r="887">
      <c r="I887">
        <f>IF(OR(Datos!B887="",Datos!B888=""),"",(Datos!B888-Datos!B887)^2)</f>
        <v/>
      </c>
    </row>
    <row r="888">
      <c r="I888">
        <f>IF(OR(Datos!B888="",Datos!B889=""),"",(Datos!B889-Datos!B888)^2)</f>
        <v/>
      </c>
    </row>
    <row r="889">
      <c r="I889">
        <f>IF(OR(Datos!B889="",Datos!B890=""),"",(Datos!B890-Datos!B889)^2)</f>
        <v/>
      </c>
    </row>
    <row r="890">
      <c r="I890">
        <f>IF(OR(Datos!B890="",Datos!B891=""),"",(Datos!B891-Datos!B890)^2)</f>
        <v/>
      </c>
    </row>
    <row r="891">
      <c r="I891">
        <f>IF(OR(Datos!B891="",Datos!B892=""),"",(Datos!B892-Datos!B891)^2)</f>
        <v/>
      </c>
    </row>
    <row r="892">
      <c r="I892">
        <f>IF(OR(Datos!B892="",Datos!B893=""),"",(Datos!B893-Datos!B892)^2)</f>
        <v/>
      </c>
    </row>
    <row r="893">
      <c r="I893">
        <f>IF(OR(Datos!B893="",Datos!B894=""),"",(Datos!B894-Datos!B893)^2)</f>
        <v/>
      </c>
    </row>
    <row r="894">
      <c r="I894">
        <f>IF(OR(Datos!B894="",Datos!B895=""),"",(Datos!B895-Datos!B894)^2)</f>
        <v/>
      </c>
    </row>
    <row r="895">
      <c r="I895">
        <f>IF(OR(Datos!B895="",Datos!B896=""),"",(Datos!B896-Datos!B895)^2)</f>
        <v/>
      </c>
    </row>
    <row r="896">
      <c r="I896">
        <f>IF(OR(Datos!B896="",Datos!B897=""),"",(Datos!B897-Datos!B896)^2)</f>
        <v/>
      </c>
    </row>
    <row r="897">
      <c r="I897">
        <f>IF(OR(Datos!B897="",Datos!B898=""),"",(Datos!B898-Datos!B897)^2)</f>
        <v/>
      </c>
    </row>
    <row r="898">
      <c r="I898">
        <f>IF(OR(Datos!B898="",Datos!B899=""),"",(Datos!B899-Datos!B898)^2)</f>
        <v/>
      </c>
    </row>
    <row r="899">
      <c r="I899">
        <f>IF(OR(Datos!B899="",Datos!B900=""),"",(Datos!B900-Datos!B899)^2)</f>
        <v/>
      </c>
    </row>
    <row r="900">
      <c r="I900">
        <f>IF(OR(Datos!B900="",Datos!B901=""),"",(Datos!B901-Datos!B900)^2)</f>
        <v/>
      </c>
    </row>
    <row r="901">
      <c r="I901">
        <f>IF(OR(Datos!B901="",Datos!B902=""),"",(Datos!B902-Datos!B901)^2)</f>
        <v/>
      </c>
    </row>
    <row r="902">
      <c r="I902">
        <f>IF(OR(Datos!B902="",Datos!B903=""),"",(Datos!B903-Datos!B902)^2)</f>
        <v/>
      </c>
    </row>
    <row r="903">
      <c r="I903">
        <f>IF(OR(Datos!B903="",Datos!B904=""),"",(Datos!B904-Datos!B903)^2)</f>
        <v/>
      </c>
    </row>
    <row r="904">
      <c r="I904">
        <f>IF(OR(Datos!B904="",Datos!B905=""),"",(Datos!B905-Datos!B904)^2)</f>
        <v/>
      </c>
    </row>
    <row r="905">
      <c r="I905">
        <f>IF(OR(Datos!B905="",Datos!B906=""),"",(Datos!B906-Datos!B905)^2)</f>
        <v/>
      </c>
    </row>
    <row r="906">
      <c r="I906">
        <f>IF(OR(Datos!B906="",Datos!B907=""),"",(Datos!B907-Datos!B906)^2)</f>
        <v/>
      </c>
    </row>
    <row r="907">
      <c r="I907">
        <f>IF(OR(Datos!B907="",Datos!B908=""),"",(Datos!B908-Datos!B907)^2)</f>
        <v/>
      </c>
    </row>
    <row r="908">
      <c r="I908">
        <f>IF(OR(Datos!B908="",Datos!B909=""),"",(Datos!B909-Datos!B908)^2)</f>
        <v/>
      </c>
    </row>
    <row r="909">
      <c r="I909">
        <f>IF(OR(Datos!B909="",Datos!B910=""),"",(Datos!B910-Datos!B909)^2)</f>
        <v/>
      </c>
    </row>
    <row r="910">
      <c r="I910">
        <f>IF(OR(Datos!B910="",Datos!B911=""),"",(Datos!B911-Datos!B910)^2)</f>
        <v/>
      </c>
    </row>
    <row r="911">
      <c r="I911">
        <f>IF(OR(Datos!B911="",Datos!B912=""),"",(Datos!B912-Datos!B911)^2)</f>
        <v/>
      </c>
    </row>
    <row r="912">
      <c r="I912">
        <f>IF(OR(Datos!B912="",Datos!B913=""),"",(Datos!B913-Datos!B912)^2)</f>
        <v/>
      </c>
    </row>
    <row r="913">
      <c r="I913">
        <f>IF(OR(Datos!B913="",Datos!B914=""),"",(Datos!B914-Datos!B913)^2)</f>
        <v/>
      </c>
    </row>
    <row r="914">
      <c r="I914">
        <f>IF(OR(Datos!B914="",Datos!B915=""),"",(Datos!B915-Datos!B914)^2)</f>
        <v/>
      </c>
    </row>
    <row r="915">
      <c r="I915">
        <f>IF(OR(Datos!B915="",Datos!B916=""),"",(Datos!B916-Datos!B915)^2)</f>
        <v/>
      </c>
    </row>
    <row r="916">
      <c r="I916">
        <f>IF(OR(Datos!B916="",Datos!B917=""),"",(Datos!B917-Datos!B916)^2)</f>
        <v/>
      </c>
    </row>
    <row r="917">
      <c r="I917">
        <f>IF(OR(Datos!B917="",Datos!B918=""),"",(Datos!B918-Datos!B917)^2)</f>
        <v/>
      </c>
    </row>
    <row r="918">
      <c r="I918">
        <f>IF(OR(Datos!B918="",Datos!B919=""),"",(Datos!B919-Datos!B918)^2)</f>
        <v/>
      </c>
    </row>
    <row r="919">
      <c r="I919">
        <f>IF(OR(Datos!B919="",Datos!B920=""),"",(Datos!B920-Datos!B919)^2)</f>
        <v/>
      </c>
    </row>
    <row r="920">
      <c r="I920">
        <f>IF(OR(Datos!B920="",Datos!B921=""),"",(Datos!B921-Datos!B920)^2)</f>
        <v/>
      </c>
    </row>
    <row r="921">
      <c r="I921">
        <f>IF(OR(Datos!B921="",Datos!B922=""),"",(Datos!B922-Datos!B921)^2)</f>
        <v/>
      </c>
    </row>
    <row r="922">
      <c r="I922">
        <f>IF(OR(Datos!B922="",Datos!B923=""),"",(Datos!B923-Datos!B922)^2)</f>
        <v/>
      </c>
    </row>
    <row r="923">
      <c r="I923">
        <f>IF(OR(Datos!B923="",Datos!B924=""),"",(Datos!B924-Datos!B923)^2)</f>
        <v/>
      </c>
    </row>
    <row r="924">
      <c r="I924">
        <f>IF(OR(Datos!B924="",Datos!B925=""),"",(Datos!B925-Datos!B924)^2)</f>
        <v/>
      </c>
    </row>
    <row r="925">
      <c r="I925">
        <f>IF(OR(Datos!B925="",Datos!B926=""),"",(Datos!B926-Datos!B925)^2)</f>
        <v/>
      </c>
    </row>
    <row r="926">
      <c r="I926">
        <f>IF(OR(Datos!B926="",Datos!B927=""),"",(Datos!B927-Datos!B926)^2)</f>
        <v/>
      </c>
    </row>
    <row r="927">
      <c r="I927">
        <f>IF(OR(Datos!B927="",Datos!B928=""),"",(Datos!B928-Datos!B927)^2)</f>
        <v/>
      </c>
    </row>
    <row r="928">
      <c r="I928">
        <f>IF(OR(Datos!B928="",Datos!B929=""),"",(Datos!B929-Datos!B928)^2)</f>
        <v/>
      </c>
    </row>
    <row r="929">
      <c r="I929">
        <f>IF(OR(Datos!B929="",Datos!B930=""),"",(Datos!B930-Datos!B929)^2)</f>
        <v/>
      </c>
    </row>
    <row r="930">
      <c r="I930">
        <f>IF(OR(Datos!B930="",Datos!B931=""),"",(Datos!B931-Datos!B930)^2)</f>
        <v/>
      </c>
    </row>
    <row r="931">
      <c r="I931">
        <f>IF(OR(Datos!B931="",Datos!B932=""),"",(Datos!B932-Datos!B931)^2)</f>
        <v/>
      </c>
    </row>
    <row r="932">
      <c r="I932">
        <f>IF(OR(Datos!B932="",Datos!B933=""),"",(Datos!B933-Datos!B932)^2)</f>
        <v/>
      </c>
    </row>
    <row r="933">
      <c r="I933">
        <f>IF(OR(Datos!B933="",Datos!B934=""),"",(Datos!B934-Datos!B933)^2)</f>
        <v/>
      </c>
    </row>
    <row r="934">
      <c r="I934">
        <f>IF(OR(Datos!B934="",Datos!B935=""),"",(Datos!B935-Datos!B934)^2)</f>
        <v/>
      </c>
    </row>
    <row r="935">
      <c r="I935">
        <f>IF(OR(Datos!B935="",Datos!B936=""),"",(Datos!B936-Datos!B935)^2)</f>
        <v/>
      </c>
    </row>
    <row r="936">
      <c r="I936">
        <f>IF(OR(Datos!B936="",Datos!B937=""),"",(Datos!B937-Datos!B936)^2)</f>
        <v/>
      </c>
    </row>
    <row r="937">
      <c r="I937">
        <f>IF(OR(Datos!B937="",Datos!B938=""),"",(Datos!B938-Datos!B937)^2)</f>
        <v/>
      </c>
    </row>
    <row r="938">
      <c r="I938">
        <f>IF(OR(Datos!B938="",Datos!B939=""),"",(Datos!B939-Datos!B938)^2)</f>
        <v/>
      </c>
    </row>
    <row r="939">
      <c r="I939">
        <f>IF(OR(Datos!B939="",Datos!B940=""),"",(Datos!B940-Datos!B939)^2)</f>
        <v/>
      </c>
    </row>
    <row r="940">
      <c r="I940">
        <f>IF(OR(Datos!B940="",Datos!B941=""),"",(Datos!B941-Datos!B940)^2)</f>
        <v/>
      </c>
    </row>
    <row r="941">
      <c r="I941">
        <f>IF(OR(Datos!B941="",Datos!B942=""),"",(Datos!B942-Datos!B941)^2)</f>
        <v/>
      </c>
    </row>
    <row r="942">
      <c r="I942">
        <f>IF(OR(Datos!B942="",Datos!B943=""),"",(Datos!B943-Datos!B942)^2)</f>
        <v/>
      </c>
    </row>
    <row r="943">
      <c r="I943">
        <f>IF(OR(Datos!B943="",Datos!B944=""),"",(Datos!B944-Datos!B943)^2)</f>
        <v/>
      </c>
    </row>
    <row r="944">
      <c r="I944">
        <f>IF(OR(Datos!B944="",Datos!B945=""),"",(Datos!B945-Datos!B944)^2)</f>
        <v/>
      </c>
    </row>
    <row r="945">
      <c r="I945">
        <f>IF(OR(Datos!B945="",Datos!B946=""),"",(Datos!B946-Datos!B945)^2)</f>
        <v/>
      </c>
    </row>
    <row r="946">
      <c r="I946">
        <f>IF(OR(Datos!B946="",Datos!B947=""),"",(Datos!B947-Datos!B946)^2)</f>
        <v/>
      </c>
    </row>
    <row r="947">
      <c r="I947">
        <f>IF(OR(Datos!B947="",Datos!B948=""),"",(Datos!B948-Datos!B947)^2)</f>
        <v/>
      </c>
    </row>
    <row r="948">
      <c r="I948">
        <f>IF(OR(Datos!B948="",Datos!B949=""),"",(Datos!B949-Datos!B948)^2)</f>
        <v/>
      </c>
    </row>
    <row r="949">
      <c r="I949">
        <f>IF(OR(Datos!B949="",Datos!B950=""),"",(Datos!B950-Datos!B949)^2)</f>
        <v/>
      </c>
    </row>
    <row r="950">
      <c r="I950">
        <f>IF(OR(Datos!B950="",Datos!B951=""),"",(Datos!B951-Datos!B950)^2)</f>
        <v/>
      </c>
    </row>
    <row r="951">
      <c r="I951">
        <f>IF(OR(Datos!B951="",Datos!B952=""),"",(Datos!B952-Datos!B951)^2)</f>
        <v/>
      </c>
    </row>
    <row r="952">
      <c r="I952">
        <f>IF(OR(Datos!B952="",Datos!B953=""),"",(Datos!B953-Datos!B952)^2)</f>
        <v/>
      </c>
    </row>
    <row r="953">
      <c r="I953">
        <f>IF(OR(Datos!B953="",Datos!B954=""),"",(Datos!B954-Datos!B953)^2)</f>
        <v/>
      </c>
    </row>
    <row r="954">
      <c r="I954">
        <f>IF(OR(Datos!B954="",Datos!B955=""),"",(Datos!B955-Datos!B954)^2)</f>
        <v/>
      </c>
    </row>
    <row r="955">
      <c r="I955">
        <f>IF(OR(Datos!B955="",Datos!B956=""),"",(Datos!B956-Datos!B955)^2)</f>
        <v/>
      </c>
    </row>
    <row r="956">
      <c r="I956">
        <f>IF(OR(Datos!B956="",Datos!B957=""),"",(Datos!B957-Datos!B956)^2)</f>
        <v/>
      </c>
    </row>
    <row r="957">
      <c r="I957">
        <f>IF(OR(Datos!B957="",Datos!B958=""),"",(Datos!B958-Datos!B957)^2)</f>
        <v/>
      </c>
    </row>
    <row r="958">
      <c r="I958">
        <f>IF(OR(Datos!B958="",Datos!B959=""),"",(Datos!B959-Datos!B958)^2)</f>
        <v/>
      </c>
    </row>
    <row r="959">
      <c r="I959">
        <f>IF(OR(Datos!B959="",Datos!B960=""),"",(Datos!B960-Datos!B959)^2)</f>
        <v/>
      </c>
    </row>
    <row r="960">
      <c r="I960">
        <f>IF(OR(Datos!B960="",Datos!B961=""),"",(Datos!B961-Datos!B960)^2)</f>
        <v/>
      </c>
    </row>
    <row r="961">
      <c r="I961">
        <f>IF(OR(Datos!B961="",Datos!B962=""),"",(Datos!B962-Datos!B961)^2)</f>
        <v/>
      </c>
    </row>
    <row r="962">
      <c r="I962">
        <f>IF(OR(Datos!B962="",Datos!B963=""),"",(Datos!B963-Datos!B962)^2)</f>
        <v/>
      </c>
    </row>
    <row r="963">
      <c r="I963">
        <f>IF(OR(Datos!B963="",Datos!B964=""),"",(Datos!B964-Datos!B963)^2)</f>
        <v/>
      </c>
    </row>
    <row r="964">
      <c r="I964">
        <f>IF(OR(Datos!B964="",Datos!B965=""),"",(Datos!B965-Datos!B964)^2)</f>
        <v/>
      </c>
    </row>
    <row r="965">
      <c r="I965">
        <f>IF(OR(Datos!B965="",Datos!B966=""),"",(Datos!B966-Datos!B965)^2)</f>
        <v/>
      </c>
    </row>
    <row r="966">
      <c r="I966">
        <f>IF(OR(Datos!B966="",Datos!B967=""),"",(Datos!B967-Datos!B966)^2)</f>
        <v/>
      </c>
    </row>
    <row r="967">
      <c r="I967">
        <f>IF(OR(Datos!B967="",Datos!B968=""),"",(Datos!B968-Datos!B967)^2)</f>
        <v/>
      </c>
    </row>
    <row r="968">
      <c r="I968">
        <f>IF(OR(Datos!B968="",Datos!B969=""),"",(Datos!B969-Datos!B968)^2)</f>
        <v/>
      </c>
    </row>
    <row r="969">
      <c r="I969">
        <f>IF(OR(Datos!B969="",Datos!B970=""),"",(Datos!B970-Datos!B969)^2)</f>
        <v/>
      </c>
    </row>
    <row r="970">
      <c r="I970">
        <f>IF(OR(Datos!B970="",Datos!B971=""),"",(Datos!B971-Datos!B970)^2)</f>
        <v/>
      </c>
    </row>
    <row r="971">
      <c r="I971">
        <f>IF(OR(Datos!B971="",Datos!B972=""),"",(Datos!B972-Datos!B971)^2)</f>
        <v/>
      </c>
    </row>
    <row r="972">
      <c r="I972">
        <f>IF(OR(Datos!B972="",Datos!B973=""),"",(Datos!B973-Datos!B972)^2)</f>
        <v/>
      </c>
    </row>
    <row r="973">
      <c r="I973">
        <f>IF(OR(Datos!B973="",Datos!B974=""),"",(Datos!B974-Datos!B973)^2)</f>
        <v/>
      </c>
    </row>
    <row r="974">
      <c r="I974">
        <f>IF(OR(Datos!B974="",Datos!B975=""),"",(Datos!B975-Datos!B974)^2)</f>
        <v/>
      </c>
    </row>
    <row r="975">
      <c r="I975">
        <f>IF(OR(Datos!B975="",Datos!B976=""),"",(Datos!B976-Datos!B975)^2)</f>
        <v/>
      </c>
    </row>
    <row r="976">
      <c r="I976">
        <f>IF(OR(Datos!B976="",Datos!B977=""),"",(Datos!B977-Datos!B976)^2)</f>
        <v/>
      </c>
    </row>
    <row r="977">
      <c r="I977">
        <f>IF(OR(Datos!B977="",Datos!B978=""),"",(Datos!B978-Datos!B977)^2)</f>
        <v/>
      </c>
    </row>
    <row r="978">
      <c r="I978">
        <f>IF(OR(Datos!B978="",Datos!B979=""),"",(Datos!B979-Datos!B978)^2)</f>
        <v/>
      </c>
    </row>
    <row r="979">
      <c r="I979">
        <f>IF(OR(Datos!B979="",Datos!B980=""),"",(Datos!B980-Datos!B979)^2)</f>
        <v/>
      </c>
    </row>
    <row r="980">
      <c r="I980">
        <f>IF(OR(Datos!B980="",Datos!B981=""),"",(Datos!B981-Datos!B980)^2)</f>
        <v/>
      </c>
    </row>
    <row r="981">
      <c r="I981">
        <f>IF(OR(Datos!B981="",Datos!B982=""),"",(Datos!B982-Datos!B981)^2)</f>
        <v/>
      </c>
    </row>
    <row r="982">
      <c r="I982">
        <f>IF(OR(Datos!B982="",Datos!B983=""),"",(Datos!B983-Datos!B982)^2)</f>
        <v/>
      </c>
    </row>
    <row r="983">
      <c r="I983">
        <f>IF(OR(Datos!B983="",Datos!B984=""),"",(Datos!B984-Datos!B983)^2)</f>
        <v/>
      </c>
    </row>
    <row r="984">
      <c r="I984">
        <f>IF(OR(Datos!B984="",Datos!B985=""),"",(Datos!B985-Datos!B984)^2)</f>
        <v/>
      </c>
    </row>
    <row r="985">
      <c r="I985">
        <f>IF(OR(Datos!B985="",Datos!B986=""),"",(Datos!B986-Datos!B985)^2)</f>
        <v/>
      </c>
    </row>
    <row r="986">
      <c r="I986">
        <f>IF(OR(Datos!B986="",Datos!B987=""),"",(Datos!B987-Datos!B986)^2)</f>
        <v/>
      </c>
    </row>
    <row r="987">
      <c r="I987">
        <f>IF(OR(Datos!B987="",Datos!B988=""),"",(Datos!B988-Datos!B987)^2)</f>
        <v/>
      </c>
    </row>
    <row r="988">
      <c r="I988">
        <f>IF(OR(Datos!B988="",Datos!B989=""),"",(Datos!B989-Datos!B988)^2)</f>
        <v/>
      </c>
    </row>
    <row r="989">
      <c r="I989">
        <f>IF(OR(Datos!B989="",Datos!B990=""),"",(Datos!B990-Datos!B989)^2)</f>
        <v/>
      </c>
    </row>
    <row r="990">
      <c r="I990">
        <f>IF(OR(Datos!B990="",Datos!B991=""),"",(Datos!B991-Datos!B990)^2)</f>
        <v/>
      </c>
    </row>
    <row r="991">
      <c r="I991">
        <f>IF(OR(Datos!B991="",Datos!B992=""),"",(Datos!B992-Datos!B991)^2)</f>
        <v/>
      </c>
    </row>
    <row r="992">
      <c r="I992">
        <f>IF(OR(Datos!B992="",Datos!B993=""),"",(Datos!B993-Datos!B992)^2)</f>
        <v/>
      </c>
    </row>
    <row r="993">
      <c r="I993">
        <f>IF(OR(Datos!B993="",Datos!B994=""),"",(Datos!B994-Datos!B993)^2)</f>
        <v/>
      </c>
    </row>
    <row r="994">
      <c r="I994">
        <f>IF(OR(Datos!B994="",Datos!B995=""),"",(Datos!B995-Datos!B994)^2)</f>
        <v/>
      </c>
    </row>
    <row r="995">
      <c r="I995">
        <f>IF(OR(Datos!B995="",Datos!B996=""),"",(Datos!B996-Datos!B995)^2)</f>
        <v/>
      </c>
    </row>
    <row r="996">
      <c r="I996">
        <f>IF(OR(Datos!B996="",Datos!B997=""),"",(Datos!B997-Datos!B996)^2)</f>
        <v/>
      </c>
    </row>
    <row r="997">
      <c r="I997">
        <f>IF(OR(Datos!B997="",Datos!B998=""),"",(Datos!B998-Datos!B997)^2)</f>
        <v/>
      </c>
    </row>
    <row r="998">
      <c r="I998">
        <f>IF(OR(Datos!B998="",Datos!B999=""),"",(Datos!B999-Datos!B998)^2)</f>
        <v/>
      </c>
    </row>
    <row r="999">
      <c r="I999">
        <f>IF(OR(Datos!B999="",Datos!B1000=""),"",(Datos!B1000-Datos!B999)^2)</f>
        <v/>
      </c>
    </row>
    <row r="1000">
      <c r="I1000">
        <f>IF(OR(Datos!B1000="",Datos!B1001=""),"",(Datos!B1001-Datos!B1000)^2)</f>
        <v/>
      </c>
    </row>
    <row r="1001">
      <c r="I1001">
        <f>IF(OR(Datos!B1001="",Datos!B1002=""),"",(Datos!B1002-Datos!B1001)^2)</f>
        <v/>
      </c>
    </row>
    <row r="1002">
      <c r="I1002">
        <f>IF(OR(Datos!B1002="",Datos!B1003=""),"",(Datos!B1003-Datos!B1002)^2)</f>
        <v/>
      </c>
    </row>
    <row r="1003">
      <c r="I1003">
        <f>IF(OR(Datos!B1003="",Datos!B1004=""),"",(Datos!B1004-Datos!B1003)^2)</f>
        <v/>
      </c>
    </row>
    <row r="1004">
      <c r="I1004">
        <f>IF(OR(Datos!B1004="",Datos!B1005=""),"",(Datos!B1005-Datos!B1004)^2)</f>
        <v/>
      </c>
    </row>
    <row r="1005">
      <c r="I1005">
        <f>IF(OR(Datos!B1005="",Datos!B1006=""),"",(Datos!B1006-Datos!B1005)^2)</f>
        <v/>
      </c>
    </row>
    <row r="1006">
      <c r="I1006">
        <f>IF(OR(Datos!B1006="",Datos!B1007=""),"",(Datos!B1007-Datos!B1006)^2)</f>
        <v/>
      </c>
    </row>
    <row r="1007">
      <c r="I1007">
        <f>IF(OR(Datos!B1007="",Datos!B1008=""),"",(Datos!B1008-Datos!B1007)^2)</f>
        <v/>
      </c>
    </row>
    <row r="1008">
      <c r="I1008">
        <f>IF(OR(Datos!B1008="",Datos!B1009=""),"",(Datos!B1009-Datos!B1008)^2)</f>
        <v/>
      </c>
    </row>
  </sheetData>
  <mergeCells count="8">
    <mergeCell ref="A36:G36"/>
    <mergeCell ref="A44:G44"/>
    <mergeCell ref="A1:G1"/>
    <mergeCell ref="A27:G27"/>
    <mergeCell ref="A3:G3"/>
    <mergeCell ref="A20:G20"/>
    <mergeCell ref="A43:G43"/>
    <mergeCell ref="A42:G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0000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22" customHeight="1">
      <c r="A1" s="1" t="inlineStr">
        <is>
          <t>FÓRMULAS EN LaTeX — referencia rápida para otros diseños</t>
        </is>
      </c>
    </row>
    <row r="3">
      <c r="A3" s="20" t="inlineStr">
        <is>
          <t>NOTACIÓN GENERAL</t>
        </is>
      </c>
    </row>
    <row r="4" ht="45" customHeight="1">
      <c r="B4" s="21" t="inlineStr">
        <is>
          <t>\(N\): tamaño de la población; \(n\): tamaño de la muestra; \(y_i\): valor de la variable en la unidad \(i\); \(a=\sum z_i\): nº de éxitos; \(z_{\alpha/2}\): cuantil normal.</t>
        </is>
      </c>
    </row>
    <row r="5" ht="45" customHeight="1">
      <c r="B5" s="21" t="inlineStr">
        <is>
          <t>\(\bar{Y}=\tfrac{1}{N}\sum_U y_i\); \(S^2=\tfrac{1}{N-1}\sum_U (y_i-\bar Y)^2\); \(\sigma^2=\tfrac{N-1}{N}S^2\); \(\hat P = a/n\); \(V_0\): varianza objetivo; \(d\): semiancho del IC.</t>
        </is>
      </c>
    </row>
    <row r="7">
      <c r="A7" s="20" t="inlineStr">
        <is>
          <t>1. MUESTREO BERNOULLI (inclusión con probabilidad \(p\))</t>
        </is>
      </c>
    </row>
    <row r="8" ht="45" customHeight="1">
      <c r="B8" s="21" t="inlineStr">
        <is>
          <t>Estimadores: \(\hat Y_B=\tfrac{1}{p}\sum_{i\in s} y_i\); \(\hat{\bar Y}_B=\tfrac{1}{Np}\sum_{i\in s} y_i\); \(\hat P_B=\tfrac{a}{Np}\).</t>
        </is>
      </c>
    </row>
    <row r="9" ht="45" customHeight="1">
      <c r="B9" s="21" t="inlineStr">
        <is>
          <t>Varianzas teóricas: \(\mathrm{Var}(\hat Y_B)=\tfrac{1-p}{p}\sum_U y_i^2\); \(\mathrm{Var}(\hat{\bar Y}_B)=\tfrac{1-p}{pN^2}\sum_U y_i^2\); \(\mathrm{Var}(\hat P_B)=\tfrac{(1-p)P}{pN}\).</t>
        </is>
      </c>
    </row>
    <row r="10" ht="45" customHeight="1">
      <c r="B10" s="21" t="inlineStr">
        <is>
          <t>Varianzas estimadas (insesgadas): \(\hat v(\hat Y_B)=\tfrac{1-p}{p}\sum_s y_i^2\); \(\hat v(\hat{\bar Y}_B)=\tfrac{1-p}{pN^2}\sum_s y_i^2\); \(\hat v(\hat P_B)=\tfrac{(1-p)a}{pN^2}\).</t>
        </is>
      </c>
    </row>
    <row r="11" ht="45" customHeight="1">
      <c r="B11" s="21" t="inlineStr">
        <is>
          <t>Tamaño de muestra: con \(\sum_U y_i^2 \approx (N-1)S^2+N\bar Y^2\): \(p^{\*}=\dfrac{\sum_U y_i^2}{V_0 N^2+\sum_U y_i^2}\) (use \(V_0=(d/z_{\alpha/2})^2\) para error \(d\)); \(n\approx N\,p^{\*}\). Para proporción: \(n\approx \dfrac{NP}{V_0 N+P}\).</t>
        </is>
      </c>
    </row>
    <row r="13">
      <c r="A13" s="20" t="inlineStr">
        <is>
          <t>2. MAS CON REEMPLAZO</t>
        </is>
      </c>
    </row>
    <row r="14" ht="45" customHeight="1">
      <c r="B14" s="21" t="inlineStr">
        <is>
          <t>Estimadores: \(\bar y=\tfrac{1}{n}\sum_s y_i\); \(\hat Y=N\bar y\); \(\hat P=\tfrac{a}{n}\).</t>
        </is>
      </c>
    </row>
    <row r="15" ht="45" customHeight="1">
      <c r="B15" s="21" t="inlineStr">
        <is>
          <t>Varianzas teóricas: \(\mathrm{Var}(\bar y)=\tfrac{N-1}{N}\tfrac{S^2}{n}=\tfrac{\sigma^2}{n}\); \(\mathrm{Var}(\hat Y)=\tfrac{N(N-1)S^2}{n}\); \(\mathrm{Var}(\hat P)=\tfrac{N-1}{N}\tfrac{P(1-P)}{n}\).</t>
        </is>
      </c>
    </row>
    <row r="16" ht="45" customHeight="1">
      <c r="B16" s="21" t="inlineStr">
        <is>
          <t>Varianzas estimadas: \(\hat v(\bar y)=\tfrac{s^2}{n}\); \(\hat v(\hat Y)=\tfrac{N^2 s^2}{n}\); \(\hat v(\hat P)=\tfrac{\hat P(1-\hat P)}{n-1}\).</t>
        </is>
      </c>
    </row>
    <row r="17" ht="45" customHeight="1">
      <c r="B17" s="21" t="inlineStr">
        <is>
          <t>Tamaños de muestra: media \(n=\dfrac{\sigma^2}{V_0}=\dfrac{z_{\alpha/2}^2\,\sigma^2}{d^2}\); proporción \(n=\dfrac{P(1-P)}{V_0}=\dfrac{z_{\alpha/2}^2 P(1-P)}{d^2}\); total \(n=\dfrac{N^2\sigma^2}{V_0}\).</t>
        </is>
      </c>
    </row>
    <row r="19">
      <c r="A19" s="20" t="inlineStr">
        <is>
          <t>3. MAS SIN REEMPLAZO (fpc \(=1-	frac{n}{N}\))</t>
        </is>
      </c>
    </row>
    <row r="20" ht="45" customHeight="1">
      <c r="B20" s="21" t="inlineStr">
        <is>
          <t>Estimadores: \(\bar y=\tfrac{1}{n}\sum_s y_i\); \(\hat Y=N\bar y\); \(\hat P=\tfrac{a}{n}\).</t>
        </is>
      </c>
    </row>
    <row r="21" ht="45" customHeight="1">
      <c r="B21" s="21" t="inlineStr">
        <is>
          <t>Varianzas teóricas: \(\mathrm{Var}(\bar y)=\bigl(1-\tfrac{n}{N}\bigr)\tfrac{S^2}{n}\); \(\mathrm{Var}(\hat Y)=N^2\bigl(1-\tfrac{n}{N}\bigr)\tfrac{S^2}{n}\); \(\mathrm{Var}(\hat P)=\tfrac{N-n}{N-1}\tfrac{P(1-P)}{n}\).</t>
        </is>
      </c>
    </row>
    <row r="22" ht="45" customHeight="1">
      <c r="B22" s="21" t="inlineStr">
        <is>
          <t>Varianzas estimadas: \(\hat v(\bar y)=\bigl(1-\tfrac{n}{N}\bigr)\tfrac{s^2}{n}\); \(\hat v(\hat Y)=N^2\bigl(1-\tfrac{n}{N}\bigr)\tfrac{s^2}{n}\); \(\hat v(\hat P)=\bigl(1-\tfrac{n}{N}\bigr)\tfrac{\hat P(1-\hat P)}{n-1}\).</t>
        </is>
      </c>
    </row>
    <row r="23" ht="45" customHeight="1">
      <c r="B23" s="21" t="inlineStr">
        <is>
          <t>Tamaños de muestra: media \(n=\dfrac{N S^2}{N V_0+S^2}=\dfrac{N z_{\alpha/2}^2 S^2}{d^2(N-1)+z_{\alpha/2}^2 S^2}\); proporción \(n=\dfrac{N P(1-P)}{(N-1)V_0+P(1-P)}\); total \(n=\dfrac{N^2 S^2}{V_0+NS^2}\).</t>
        </is>
      </c>
    </row>
    <row r="25">
      <c r="A25" s="20" t="inlineStr">
        <is>
          <t>4. MUESTREO SISTEMÁTICO (k = N/n, arranque aleatorio r ∈ {1,…,k})</t>
        </is>
      </c>
    </row>
    <row r="26" ht="45" customHeight="1">
      <c r="B26" s="21" t="inlineStr">
        <is>
          <t>Estimadores: \(\bar y_{sys}=\tfrac{1}{n}\sum_s y_i\); \(\hat Y_{sys}=N\bar y_{sys}\). No hay estimador insesgado de la varianza.</t>
        </is>
      </c>
    </row>
    <row r="27" ht="45" customHeight="1">
      <c r="B27" s="21" t="inlineStr">
        <is>
          <t>Varianza teórica (correlación intraclase \(\rho\)): \(\mathrm{Var}(\bar y_{sys})=\tfrac{N-1}{N}\tfrac{S^2}{n}\bigl[1+(n-1)\rho\bigr]\); exacta sobre las \(k\) muestras posibles: \(\tfrac{1}{k}\sum_{r=1}^{k}(\bar y_r-\bar Y)^2\).</t>
        </is>
      </c>
    </row>
    <row r="28" ht="45" customHeight="1">
      <c r="B28" s="21" t="inlineStr">
        <is>
          <t>Varianzas estimadas: aprox. MAS \(\hat v=\bigl(1-\tfrac{n}{N}\bigr)\tfrac{s^2}{n}\); diferencias sucesivas (Wolter): \(\hat v=\dfrac{1-n/N}{2n(n-1)}\sum_{i=1}^{n-1}(y_{i+1}-y_i)^2\).</t>
        </is>
      </c>
    </row>
    <row r="29" ht="45" customHeight="1">
      <c r="B29" s="21" t="inlineStr">
        <is>
          <t>Tamaño de muestra: aproximación MAS sin reemplazo (misma fórmula), \(n=\dfrac{N S^2}{N V_0+S^2}\).</t>
        </is>
      </c>
    </row>
    <row r="31">
      <c r="A31" s="20" t="inlineStr">
        <is>
          <t>INTERVALOS DE CONFIANZA (todos los diseños)</t>
        </is>
      </c>
    </row>
    <row r="32" ht="45" customHeight="1">
      <c r="B32" s="21" t="inlineStr">
        <is>
          <t>\(IC_{1-\alpha}(\theta):\ \hat\theta \pm z_{\alpha/2}\sqrt{\hat v(\hat\theta)}\); \(d=z_{\alpha/2}\sqrt{V_0}\Rightarrow V_0=(d/z_{\alpha/2})^2\). \(z_{0.05}=1.645,\ z_{0.025}=1.96,\ z_{0.005}=2.576\).</t>
        </is>
      </c>
    </row>
  </sheetData>
  <mergeCells count="7">
    <mergeCell ref="A7:B7"/>
    <mergeCell ref="A25:B25"/>
    <mergeCell ref="A19:B19"/>
    <mergeCell ref="A13:B13"/>
    <mergeCell ref="A1:B1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2026-10-15T18:26:31Z</dcterms:created>
  <dcterms:modified xmlns:dcterms="http://purl.org/dc/terms/" xmlns:xsi="http://www.w3.org/2001/XMLSchema-instance" xsi:type="dcterms:W3CDTF">2026-10-15T18:46:01Z</dcterms:modified>
</cp:coreProperties>
</file>