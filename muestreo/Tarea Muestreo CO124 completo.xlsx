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<sst xmlns="http://schemas.openxmlformats.org/spreadsheetml/2006/main" count="72" uniqueCount="34">
  <si>
    <t xml:space="preserve">Pais</t>
  </si>
  <si>
    <t xml:space="preserve">mex</t>
  </si>
  <si>
    <t xml:space="preserve">Pk</t>
  </si>
  <si>
    <t xml:space="preserve">LI</t>
  </si>
  <si>
    <t xml:space="preserve">LS</t>
  </si>
  <si>
    <t xml:space="preserve">Num_alea</t>
  </si>
  <si>
    <t xml:space="preserve">Selección</t>
  </si>
  <si>
    <t xml:space="preserve">Valores_selec</t>
  </si>
  <si>
    <t xml:space="preserve">y_bar_S</t>
  </si>
  <si>
    <t xml:space="preserve">ARG</t>
  </si>
  <si>
    <t xml:space="preserve">BRA</t>
  </si>
  <si>
    <t xml:space="preserve">Total_est</t>
  </si>
  <si>
    <t xml:space="preserve">BOL</t>
  </si>
  <si>
    <t xml:space="preserve">GUY</t>
  </si>
  <si>
    <t xml:space="preserve">Variación_est</t>
  </si>
  <si>
    <t xml:space="preserve">coef_var</t>
  </si>
  <si>
    <t xml:space="preserve">CHI</t>
  </si>
  <si>
    <t xml:space="preserve">PAR</t>
  </si>
  <si>
    <t xml:space="preserve">Publicable?</t>
  </si>
  <si>
    <t xml:space="preserve">No</t>
  </si>
  <si>
    <t xml:space="preserve">COL</t>
  </si>
  <si>
    <t xml:space="preserve">VEN</t>
  </si>
  <si>
    <t xml:space="preserve">ECU</t>
  </si>
  <si>
    <t xml:space="preserve">PER</t>
  </si>
  <si>
    <t xml:space="preserve">URU</t>
  </si>
  <si>
    <t xml:space="preserve">pais</t>
  </si>
  <si>
    <t xml:space="preserve">S</t>
  </si>
  <si>
    <t xml:space="preserve">Z</t>
  </si>
  <si>
    <t xml:space="preserve">s_2</t>
  </si>
  <si>
    <t xml:space="preserve">s_1</t>
  </si>
  <si>
    <t xml:space="preserve">Idioma</t>
  </si>
  <si>
    <t xml:space="preserve">ES</t>
  </si>
  <si>
    <t xml:space="preserve">PO</t>
  </si>
  <si>
    <t xml:space="preserve">FR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</si>
</sst>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%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1" sqref="A1:C12 D26"/>
    </sheetView>
  </sheetViews>
  <sheetFormatPr defaultColWidth="10.7578125" defaultRowHeight="15" customHeight="false" zeroHeight="false" outlineLevelRow="0" outlineLevelCol="0"/>
  <cols>
    <col collapsed="false" customWidth="true" hidden="false" outlineLevel="0" max="8" min="8" style="0" width="12.14"/>
    <col collapsed="false" customWidth="true" hidden="false" outlineLevel="0" max="10" min="10" style="0" width="11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J1" s="0" t="s">
        <v>8</v>
      </c>
      <c r="K1" s="1" t="n">
        <f aca="false">AVERAGE(H2:H6)</f>
        <v>833.8</v>
      </c>
    </row>
    <row r="2" customFormat="false" ht="15" hidden="false" customHeight="false" outlineLevel="0" collapsed="false">
      <c r="A2" s="0" t="s">
        <v>9</v>
      </c>
      <c r="B2" s="0" t="n">
        <v>2341</v>
      </c>
      <c r="C2" s="1" t="n">
        <v>0.0909090909090909</v>
      </c>
      <c r="D2" s="1" t="n">
        <v>0</v>
      </c>
      <c r="E2" s="1" t="n">
        <v>0.0909090909090909</v>
      </c>
      <c r="F2" s="1" t="n">
        <v>0.255684134550213</v>
      </c>
      <c r="G2" s="1" t="s">
        <v>10</v>
      </c>
      <c r="H2" s="1" t="n">
        <v>1234</v>
      </c>
      <c r="J2" s="0" t="s">
        <v>11</v>
      </c>
      <c r="K2" s="0" t="n">
        <f aca="false">11*K1</f>
        <v>9171.8</v>
      </c>
    </row>
    <row r="3" customFormat="false" ht="15" hidden="false" customHeight="false" outlineLevel="0" collapsed="false">
      <c r="A3" s="0" t="s">
        <v>12</v>
      </c>
      <c r="B3" s="0" t="n">
        <v>84</v>
      </c>
      <c r="C3" s="1" t="n">
        <v>0.0909090909090909</v>
      </c>
      <c r="D3" s="1" t="n">
        <v>0.0909090909090909</v>
      </c>
      <c r="E3" s="1" t="n">
        <v>0.181818181818182</v>
      </c>
      <c r="F3" s="1" t="n">
        <v>0.574580111317116</v>
      </c>
      <c r="G3" s="0" t="s">
        <v>13</v>
      </c>
      <c r="H3" s="1" t="n">
        <v>27</v>
      </c>
      <c r="J3" s="0" t="s">
        <v>14</v>
      </c>
      <c r="K3" s="0" t="n">
        <f aca="false">_xlfn.VAR.S(H2:H6)*(121*(1-(5/11)))/5</f>
        <v>12563043.24</v>
      </c>
    </row>
    <row r="4" customFormat="false" ht="15" hidden="false" customHeight="false" outlineLevel="0" collapsed="false">
      <c r="A4" s="0" t="s">
        <v>10</v>
      </c>
      <c r="B4" s="0" t="n">
        <v>1234</v>
      </c>
      <c r="C4" s="1" t="n">
        <v>0.0909090909090909</v>
      </c>
      <c r="D4" s="1" t="n">
        <v>0.181818181818182</v>
      </c>
      <c r="E4" s="1" t="n">
        <v>0.272727272727273</v>
      </c>
      <c r="F4" s="1" t="n">
        <v>0.0603881064776313</v>
      </c>
      <c r="G4" s="0" t="s">
        <v>9</v>
      </c>
      <c r="H4" s="1" t="n">
        <v>2341</v>
      </c>
      <c r="J4" s="0" t="s">
        <v>15</v>
      </c>
      <c r="K4" s="0" t="n">
        <f aca="false">SQRT(K3)/K2</f>
        <v>0.386449590402262</v>
      </c>
      <c r="L4" s="2" t="n">
        <v>0.3864</v>
      </c>
    </row>
    <row r="5" customFormat="false" ht="15" hidden="false" customHeight="false" outlineLevel="0" collapsed="false">
      <c r="A5" s="0" t="s">
        <v>16</v>
      </c>
      <c r="B5" s="0" t="n">
        <v>225</v>
      </c>
      <c r="C5" s="1" t="n">
        <v>0.0909090909090909</v>
      </c>
      <c r="D5" s="1" t="n">
        <v>0.272727272727273</v>
      </c>
      <c r="E5" s="1" t="n">
        <v>0.363636363636364</v>
      </c>
      <c r="F5" s="1" t="n">
        <v>0.687656212416278</v>
      </c>
      <c r="G5" s="0" t="s">
        <v>17</v>
      </c>
      <c r="H5" s="1" t="n">
        <v>40</v>
      </c>
      <c r="J5" s="0" t="s">
        <v>18</v>
      </c>
      <c r="K5" s="0" t="s">
        <v>19</v>
      </c>
    </row>
    <row r="6" customFormat="false" ht="15" hidden="false" customHeight="false" outlineLevel="0" collapsed="false">
      <c r="A6" s="0" t="s">
        <v>20</v>
      </c>
      <c r="B6" s="0" t="n">
        <v>229</v>
      </c>
      <c r="C6" s="1" t="n">
        <v>0.0909090909090909</v>
      </c>
      <c r="D6" s="1" t="n">
        <v>0.363636363636364</v>
      </c>
      <c r="E6" s="1" t="n">
        <v>0.454545454545455</v>
      </c>
      <c r="F6" s="1" t="n">
        <v>0.982265472754202</v>
      </c>
      <c r="G6" s="0" t="s">
        <v>21</v>
      </c>
      <c r="H6" s="1" t="n">
        <v>527</v>
      </c>
    </row>
    <row r="7" customFormat="false" ht="15" hidden="false" customHeight="false" outlineLevel="0" collapsed="false">
      <c r="A7" s="0" t="s">
        <v>22</v>
      </c>
      <c r="B7" s="0" t="n">
        <v>92</v>
      </c>
      <c r="C7" s="1" t="n">
        <v>0.0909090909090909</v>
      </c>
      <c r="D7" s="1" t="n">
        <v>0.454545454545455</v>
      </c>
      <c r="E7" s="1" t="n">
        <v>0.545454545454546</v>
      </c>
    </row>
    <row r="8" customFormat="false" ht="15" hidden="false" customHeight="false" outlineLevel="0" collapsed="false">
      <c r="A8" s="0" t="s">
        <v>13</v>
      </c>
      <c r="B8" s="0" t="n">
        <v>27</v>
      </c>
      <c r="C8" s="1" t="n">
        <v>0.0909090909090909</v>
      </c>
      <c r="D8" s="1" t="n">
        <v>0.545454545454545</v>
      </c>
      <c r="E8" s="1" t="n">
        <v>0.636363636363636</v>
      </c>
    </row>
    <row r="9" customFormat="false" ht="15" hidden="false" customHeight="false" outlineLevel="0" collapsed="false">
      <c r="A9" s="0" t="s">
        <v>17</v>
      </c>
      <c r="B9" s="0" t="n">
        <v>40</v>
      </c>
      <c r="C9" s="1" t="n">
        <v>0.0909090909090909</v>
      </c>
      <c r="D9" s="1" t="n">
        <v>0.636363636363636</v>
      </c>
      <c r="E9" s="1" t="n">
        <v>0.727272727272727</v>
      </c>
    </row>
    <row r="10" customFormat="false" ht="15" hidden="false" customHeight="false" outlineLevel="0" collapsed="false">
      <c r="A10" s="0" t="s">
        <v>23</v>
      </c>
      <c r="B10" s="0" t="n">
        <v>480</v>
      </c>
      <c r="C10" s="1" t="n">
        <v>0.0909090909090909</v>
      </c>
      <c r="D10" s="1" t="n">
        <v>0.727272727272727</v>
      </c>
      <c r="E10" s="1" t="n">
        <v>0.818181818181818</v>
      </c>
    </row>
    <row r="11" customFormat="false" ht="15" hidden="false" customHeight="false" outlineLevel="0" collapsed="false">
      <c r="A11" s="0" t="s">
        <v>24</v>
      </c>
      <c r="B11" s="0" t="n">
        <v>150</v>
      </c>
      <c r="C11" s="1" t="n">
        <v>0.0909090909090909</v>
      </c>
      <c r="D11" s="1" t="n">
        <v>0.818181818181818</v>
      </c>
      <c r="E11" s="1" t="n">
        <v>0.909090909090909</v>
      </c>
    </row>
    <row r="12" customFormat="false" ht="15" hidden="false" customHeight="false" outlineLevel="0" collapsed="false">
      <c r="A12" s="0" t="s">
        <v>21</v>
      </c>
      <c r="B12" s="0" t="n">
        <v>527</v>
      </c>
      <c r="C12" s="1" t="n">
        <v>0.0909090909090909</v>
      </c>
      <c r="D12" s="1" t="n">
        <v>0.909090909090909</v>
      </c>
      <c r="E12" s="1" t="n">
        <v>1</v>
      </c>
    </row>
    <row r="17" customFormat="false" ht="15" hidden="false" customHeight="false" outlineLevel="0" collapsed="false">
      <c r="A17" s="0" t="s">
        <v>25</v>
      </c>
      <c r="B17" s="0" t="s">
        <v>1</v>
      </c>
      <c r="D17" s="0" t="s">
        <v>26</v>
      </c>
      <c r="E17" s="0" t="s">
        <v>27</v>
      </c>
      <c r="G17" s="0" t="s">
        <v>8</v>
      </c>
      <c r="H17" s="1" t="n">
        <f aca="false">AVERAGE(B18:B22)</f>
        <v>656.8</v>
      </c>
    </row>
    <row r="18" customFormat="false" ht="15" hidden="false" customHeight="false" outlineLevel="0" collapsed="false">
      <c r="A18" s="0" t="s">
        <v>12</v>
      </c>
      <c r="B18" s="0" t="n">
        <v>84</v>
      </c>
      <c r="D18" s="0" t="s">
        <v>28</v>
      </c>
      <c r="E18" s="0" t="n">
        <v>0.034398215656457</v>
      </c>
      <c r="G18" s="0" t="s">
        <v>11</v>
      </c>
      <c r="H18" s="0" t="n">
        <f aca="false">2*H17</f>
        <v>1313.6</v>
      </c>
    </row>
    <row r="19" customFormat="false" ht="15" hidden="false" customHeight="false" outlineLevel="0" collapsed="false">
      <c r="A19" s="0" t="s">
        <v>24</v>
      </c>
      <c r="B19" s="0" t="n">
        <v>150</v>
      </c>
      <c r="D19" s="0" t="s">
        <v>29</v>
      </c>
      <c r="E19" s="0" t="n">
        <v>0.933146864448844</v>
      </c>
      <c r="G19" s="0" t="s">
        <v>14</v>
      </c>
      <c r="H19" s="0" t="n">
        <f aca="false">_xlfn.VAR.S(B18:B22)*(121*(1-(5/11)))/5</f>
        <v>11997964.44</v>
      </c>
    </row>
    <row r="20" customFormat="false" ht="15" hidden="false" customHeight="false" outlineLevel="0" collapsed="false">
      <c r="A20" s="0" t="s">
        <v>23</v>
      </c>
      <c r="B20" s="0" t="n">
        <v>480</v>
      </c>
      <c r="G20" s="0" t="s">
        <v>15</v>
      </c>
      <c r="H20" s="0" t="n">
        <f aca="false">SQRT(H19)/H18</f>
        <v>2.63688169526382</v>
      </c>
      <c r="I20" s="2" t="n">
        <v>2.6368</v>
      </c>
    </row>
    <row r="21" customFormat="false" ht="15" hidden="false" customHeight="false" outlineLevel="0" collapsed="false">
      <c r="A21" s="0" t="s">
        <v>20</v>
      </c>
      <c r="B21" s="0" t="n">
        <v>229</v>
      </c>
      <c r="G21" s="0" t="s">
        <v>18</v>
      </c>
      <c r="H21" s="0" t="s">
        <v>19</v>
      </c>
    </row>
    <row r="22" customFormat="false" ht="15" hidden="false" customHeight="false" outlineLevel="0" collapsed="false">
      <c r="A22" s="0" t="s">
        <v>9</v>
      </c>
      <c r="B22" s="0" t="n">
        <v>2341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A1:C12"/>
    </sheetView>
  </sheetViews>
  <sheetFormatPr defaultColWidth="10.16015625" defaultRowHeight="15.05" customHeight="false" zeroHeight="false" outlineLevelRow="0" outlineLevelCol="0"/>
  <sheetData>
    <row r="1" customFormat="false" ht="15.05" hidden="false" customHeight="false" outlineLevel="0" collapsed="false">
      <c r="A1" s="0" t="s">
        <v>30</v>
      </c>
      <c r="B1" s="0" t="s">
        <v>0</v>
      </c>
      <c r="C1" s="0" t="s">
        <v>1</v>
      </c>
    </row>
    <row r="2" customFormat="false" ht="15.05" hidden="false" customHeight="false" outlineLevel="0" collapsed="false">
      <c r="A2" s="0" t="s">
        <v>31</v>
      </c>
      <c r="B2" s="0" t="s">
        <v>9</v>
      </c>
      <c r="C2" s="0" t="n">
        <v>2341</v>
      </c>
    </row>
    <row r="3" customFormat="false" ht="15.05" hidden="false" customHeight="false" outlineLevel="0" collapsed="false">
      <c r="A3" s="0" t="s">
        <v>31</v>
      </c>
      <c r="B3" s="0" t="s">
        <v>12</v>
      </c>
      <c r="C3" s="0" t="n">
        <v>84</v>
      </c>
    </row>
    <row r="4" customFormat="false" ht="15.05" hidden="false" customHeight="false" outlineLevel="0" collapsed="false">
      <c r="A4" s="0" t="s">
        <v>32</v>
      </c>
      <c r="B4" s="0" t="s">
        <v>10</v>
      </c>
      <c r="C4" s="0" t="n">
        <v>1234</v>
      </c>
    </row>
    <row r="5" customFormat="false" ht="15.05" hidden="false" customHeight="false" outlineLevel="0" collapsed="false">
      <c r="A5" s="0" t="s">
        <v>31</v>
      </c>
      <c r="B5" s="0" t="s">
        <v>16</v>
      </c>
      <c r="C5" s="0" t="n">
        <v>225</v>
      </c>
    </row>
    <row r="6" customFormat="false" ht="15.05" hidden="false" customHeight="false" outlineLevel="0" collapsed="false">
      <c r="A6" s="0" t="s">
        <v>31</v>
      </c>
      <c r="B6" s="0" t="s">
        <v>20</v>
      </c>
      <c r="C6" s="0" t="n">
        <v>229</v>
      </c>
    </row>
    <row r="7" customFormat="false" ht="15.05" hidden="false" customHeight="false" outlineLevel="0" collapsed="false">
      <c r="A7" s="0" t="s">
        <v>31</v>
      </c>
      <c r="B7" s="0" t="s">
        <v>22</v>
      </c>
      <c r="C7" s="0" t="n">
        <v>92</v>
      </c>
    </row>
    <row r="8" customFormat="false" ht="15.05" hidden="false" customHeight="false" outlineLevel="0" collapsed="false">
      <c r="A8" s="0" t="s">
        <v>33</v>
      </c>
      <c r="B8" s="0" t="s">
        <v>13</v>
      </c>
      <c r="C8" s="0" t="n">
        <v>27</v>
      </c>
    </row>
    <row r="9" customFormat="false" ht="15.05" hidden="false" customHeight="false" outlineLevel="0" collapsed="false">
      <c r="A9" s="0" t="s">
        <v>31</v>
      </c>
      <c r="B9" s="0" t="s">
        <v>17</v>
      </c>
      <c r="C9" s="0" t="n">
        <v>40</v>
      </c>
    </row>
    <row r="10" customFormat="false" ht="15.05" hidden="false" customHeight="false" outlineLevel="0" collapsed="false">
      <c r="A10" s="0" t="s">
        <v>31</v>
      </c>
      <c r="B10" s="0" t="s">
        <v>23</v>
      </c>
      <c r="C10" s="0" t="n">
        <v>480</v>
      </c>
    </row>
    <row r="11" customFormat="false" ht="15.05" hidden="false" customHeight="false" outlineLevel="0" collapsed="false">
      <c r="A11" s="0" t="s">
        <v>31</v>
      </c>
      <c r="B11" s="0" t="s">
        <v>24</v>
      </c>
      <c r="C11" s="0" t="n">
        <v>150</v>
      </c>
    </row>
    <row r="12" customFormat="false" ht="15.05" hidden="false" customHeight="false" outlineLevel="0" collapsed="false">
      <c r="A12" s="0" t="s">
        <v>31</v>
      </c>
      <c r="B12" s="0" t="s">
        <v>21</v>
      </c>
      <c r="C12" s="0" t="n">
        <v>527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Serif"&amp;12&amp;Kffffff&amp;A</oddHeader>
    <oddFooter>&amp;C&amp;"Noto Serif"&amp;12&amp;KffffffPage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2026-10-06T15:41:38Z</dcterms:created>
  <dc:creator>ANA ACOSTA</dc:creator>
  <dc:description/>
  <dc:language>en-US</dc:language>
  <cp:lastModifiedBy/>
  <dcterms:modified xsi:type="dcterms:W3CDTF">2026-10-20T10:00:18Z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