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AMILO MURCIA\EDUCATIVO\NACHO\MATERIAS NACHO\MUESTREO\"/>
    </mc:Choice>
  </mc:AlternateContent>
  <xr:revisionPtr revIDLastSave="0" documentId="13_ncr:1_{9202015A-D5DC-4663-9289-F14E21D2D81D}" xr6:coauthVersionLast="47" xr6:coauthVersionMax="47" xr10:uidLastSave="{00000000-0000-0000-0000-000000000000}"/>
  <bookViews>
    <workbookView xWindow="-120" yWindow="-120" windowWidth="29040" windowHeight="15720" xr2:uid="{36835084-08D8-4BED-85AF-92AA790D97E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9" i="1" l="1"/>
  <c r="H18" i="1"/>
  <c r="H17" i="1"/>
  <c r="K4" i="1"/>
  <c r="K3" i="1"/>
  <c r="K2" i="1"/>
  <c r="K1" i="1"/>
  <c r="H20" i="1" l="1"/>
</calcChain>
</file>

<file path=xl/sharedStrings.xml><?xml version="1.0" encoding="utf-8"?>
<sst xmlns="http://schemas.openxmlformats.org/spreadsheetml/2006/main" count="47" uniqueCount="30">
  <si>
    <t>Pais</t>
  </si>
  <si>
    <t>ARG</t>
  </si>
  <si>
    <t>BOL</t>
  </si>
  <si>
    <t>BRA</t>
  </si>
  <si>
    <t>CHI</t>
  </si>
  <si>
    <t>COL</t>
  </si>
  <si>
    <t>ECU</t>
  </si>
  <si>
    <t>GUY</t>
  </si>
  <si>
    <t>PAR</t>
  </si>
  <si>
    <t>PER</t>
  </si>
  <si>
    <t>URU</t>
  </si>
  <si>
    <t>VEN</t>
  </si>
  <si>
    <t>mex</t>
  </si>
  <si>
    <t>Pk</t>
  </si>
  <si>
    <t>LI</t>
  </si>
  <si>
    <t>LS</t>
  </si>
  <si>
    <t>Num_alea</t>
  </si>
  <si>
    <t>Selección</t>
  </si>
  <si>
    <t>Valores_selec</t>
  </si>
  <si>
    <t>y_bar_S</t>
  </si>
  <si>
    <t>coef_var</t>
  </si>
  <si>
    <t>Variación_est</t>
  </si>
  <si>
    <t>Total_est</t>
  </si>
  <si>
    <t>Publicable?</t>
  </si>
  <si>
    <t>No</t>
  </si>
  <si>
    <t>pais</t>
  </si>
  <si>
    <t>Z</t>
  </si>
  <si>
    <t>s_2</t>
  </si>
  <si>
    <t>s_1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</si>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</sst>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F42DD-A7A4-4434-B35A-AE20A73A02B6}">
  <dimension ref="A1:L22"/>
  <sheetViews>
    <sheetView tabSelected="1" workbookViewId="0">
      <selection activeCell="I21" sqref="I21"/>
    </sheetView>
  </sheetViews>
  <sheetFormatPr baseColWidth="10" defaultRowHeight="15" x14ac:dyDescent="0.25"/>
  <cols>
    <col min="8" max="8" width="12.140625" bestFit="1" customWidth="1"/>
    <col min="10" max="10" width="11.85546875" bestFit="1" customWidth="1"/>
  </cols>
  <sheetData>
    <row r="1" spans="1:12" x14ac:dyDescent="0.25">
      <c r="A1" t="s">
        <v>0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J1" t="s">
        <v>19</v>
      </c>
      <c r="K1" s="1">
        <f>AVERAGE(H2:H6)</f>
        <v>833.8</v>
      </c>
    </row>
    <row r="2" spans="1:12" x14ac:dyDescent="0.25">
      <c r="A2" t="s">
        <v>1</v>
      </c>
      <c r="B2">
        <v>2341</v>
      </c>
      <c r="C2" s="1">
        <v>9.0909090909090912E-2</v>
      </c>
      <c r="D2" s="1">
        <v>0</v>
      </c>
      <c r="E2" s="1">
        <v>9.0909090909090912E-2</v>
      </c>
      <c r="F2" s="1">
        <v>0.25568413455021277</v>
      </c>
      <c r="G2" s="1" t="s">
        <v>3</v>
      </c>
      <c r="H2" s="1">
        <v>1234</v>
      </c>
      <c r="J2" t="s">
        <v>22</v>
      </c>
      <c r="K2">
        <f>11*K1</f>
        <v>9171.7999999999993</v>
      </c>
    </row>
    <row r="3" spans="1:12" x14ac:dyDescent="0.25">
      <c r="A3" t="s">
        <v>2</v>
      </c>
      <c r="B3">
        <v>84</v>
      </c>
      <c r="C3" s="1">
        <v>9.0909090909090912E-2</v>
      </c>
      <c r="D3" s="1">
        <v>9.0909090909090912E-2</v>
      </c>
      <c r="E3" s="1">
        <v>0.18181818181818182</v>
      </c>
      <c r="F3" s="1">
        <v>0.57458011131711617</v>
      </c>
      <c r="G3" t="s">
        <v>7</v>
      </c>
      <c r="H3" s="1">
        <v>27</v>
      </c>
      <c r="J3" t="s">
        <v>21</v>
      </c>
      <c r="K3">
        <f>_xlfn.VAR.S(H2:H6)*(121*(1-(5/11)))/5</f>
        <v>12563043.239999998</v>
      </c>
    </row>
    <row r="4" spans="1:12" x14ac:dyDescent="0.25">
      <c r="A4" t="s">
        <v>3</v>
      </c>
      <c r="B4">
        <v>1234</v>
      </c>
      <c r="C4" s="1">
        <v>9.0909090909090912E-2</v>
      </c>
      <c r="D4" s="1">
        <v>0.18181818181818182</v>
      </c>
      <c r="E4" s="1">
        <v>0.27272727272727298</v>
      </c>
      <c r="F4" s="1">
        <v>6.0388106477631265E-2</v>
      </c>
      <c r="G4" t="s">
        <v>1</v>
      </c>
      <c r="H4" s="1">
        <v>2341</v>
      </c>
      <c r="J4" t="s">
        <v>20</v>
      </c>
      <c r="K4">
        <f>SQRT(K3)/K2</f>
        <v>0.38644959040226246</v>
      </c>
      <c r="L4" s="2">
        <v>0.38640000000000002</v>
      </c>
    </row>
    <row r="5" spans="1:12" x14ac:dyDescent="0.25">
      <c r="A5" t="s">
        <v>4</v>
      </c>
      <c r="B5">
        <v>225</v>
      </c>
      <c r="C5" s="1">
        <v>9.0909090909090912E-2</v>
      </c>
      <c r="D5" s="1">
        <v>0.27272727272727298</v>
      </c>
      <c r="E5" s="1">
        <v>0.36363636363636398</v>
      </c>
      <c r="F5" s="1">
        <v>0.68765621241627828</v>
      </c>
      <c r="G5" t="s">
        <v>8</v>
      </c>
      <c r="H5" s="1">
        <v>40</v>
      </c>
      <c r="J5" t="s">
        <v>23</v>
      </c>
      <c r="K5" t="s">
        <v>24</v>
      </c>
    </row>
    <row r="6" spans="1:12" x14ac:dyDescent="0.25">
      <c r="A6" t="s">
        <v>5</v>
      </c>
      <c r="B6">
        <v>229</v>
      </c>
      <c r="C6" s="1">
        <v>9.0909090909090912E-2</v>
      </c>
      <c r="D6" s="1">
        <v>0.36363636363636398</v>
      </c>
      <c r="E6" s="1">
        <v>0.45454545454545497</v>
      </c>
      <c r="F6" s="1">
        <v>0.9822654727542024</v>
      </c>
      <c r="G6" t="s">
        <v>11</v>
      </c>
      <c r="H6" s="1">
        <v>527</v>
      </c>
    </row>
    <row r="7" spans="1:12" x14ac:dyDescent="0.25">
      <c r="A7" t="s">
        <v>6</v>
      </c>
      <c r="B7">
        <v>92</v>
      </c>
      <c r="C7" s="1">
        <v>9.0909090909090912E-2</v>
      </c>
      <c r="D7" s="1">
        <v>0.45454545454545497</v>
      </c>
      <c r="E7" s="1">
        <v>0.54545454545454597</v>
      </c>
    </row>
    <row r="8" spans="1:12" x14ac:dyDescent="0.25">
      <c r="A8" t="s">
        <v>7</v>
      </c>
      <c r="B8">
        <v>27</v>
      </c>
      <c r="C8" s="1">
        <v>9.0909090909090912E-2</v>
      </c>
      <c r="D8" s="1">
        <v>0.54545454545454497</v>
      </c>
      <c r="E8" s="1">
        <v>0.63636363636363602</v>
      </c>
    </row>
    <row r="9" spans="1:12" x14ac:dyDescent="0.25">
      <c r="A9" t="s">
        <v>8</v>
      </c>
      <c r="B9">
        <v>40</v>
      </c>
      <c r="C9" s="1">
        <v>9.0909090909090912E-2</v>
      </c>
      <c r="D9" s="1">
        <v>0.63636363636363602</v>
      </c>
      <c r="E9" s="1">
        <v>0.72727272727272696</v>
      </c>
    </row>
    <row r="10" spans="1:12" x14ac:dyDescent="0.25">
      <c r="A10" t="s">
        <v>9</v>
      </c>
      <c r="B10">
        <v>480</v>
      </c>
      <c r="C10" s="1">
        <v>9.0909090909090912E-2</v>
      </c>
      <c r="D10" s="1">
        <v>0.72727272727272696</v>
      </c>
      <c r="E10" s="1">
        <v>0.81818181818181801</v>
      </c>
    </row>
    <row r="11" spans="1:12" x14ac:dyDescent="0.25">
      <c r="A11" t="s">
        <v>10</v>
      </c>
      <c r="B11">
        <v>150</v>
      </c>
      <c r="C11" s="1">
        <v>9.0909090909090912E-2</v>
      </c>
      <c r="D11" s="1">
        <v>0.81818181818181801</v>
      </c>
      <c r="E11" s="1">
        <v>0.90909090909090895</v>
      </c>
    </row>
    <row r="12" spans="1:12" x14ac:dyDescent="0.25">
      <c r="A12" t="s">
        <v>11</v>
      </c>
      <c r="B12">
        <v>527</v>
      </c>
      <c r="C12" s="1">
        <v>9.0909090909090912E-2</v>
      </c>
      <c r="D12" s="1">
        <v>0.90909090909090895</v>
      </c>
      <c r="E12" s="1">
        <v>1</v>
      </c>
    </row>
    <row r="17" spans="1:9" x14ac:dyDescent="0.25">
      <c r="A17" t="s">
        <v>25</v>
      </c>
      <c r="B17" t="s">
        <v>12</v>
      </c>
      <c r="D17" t="s">
        <v>29</v>
      </c>
      <c r="E17" t="s">
        <v>26</v>
      </c>
      <c r="G17" t="s">
        <v>19</v>
      </c>
      <c r="H17" s="1">
        <f>AVERAGE(B18:B22)</f>
        <v>656.8</v>
      </c>
    </row>
    <row r="18" spans="1:9" x14ac:dyDescent="0.25">
      <c r="A18" t="s">
        <v>2</v>
      </c>
      <c r="B18">
        <v>84</v>
      </c>
      <c r="D18" t="s">
        <v>27</v>
      </c>
      <c r="E18">
        <v>3.4398215656456954E-2</v>
      </c>
      <c r="G18" t="s">
        <v>22</v>
      </c>
      <c r="H18">
        <f>2*H17</f>
        <v>1313.6</v>
      </c>
    </row>
    <row r="19" spans="1:9" x14ac:dyDescent="0.25">
      <c r="A19" t="s">
        <v>10</v>
      </c>
      <c r="B19">
        <v>150</v>
      </c>
      <c r="D19" t="s">
        <v>28</v>
      </c>
      <c r="E19">
        <v>0.93314686444884376</v>
      </c>
      <c r="G19" t="s">
        <v>21</v>
      </c>
      <c r="H19">
        <f>_xlfn.VAR.S(B18:B22)*(121*(1-(5/11)))/5</f>
        <v>11997964.439999999</v>
      </c>
    </row>
    <row r="20" spans="1:9" x14ac:dyDescent="0.25">
      <c r="A20" t="s">
        <v>9</v>
      </c>
      <c r="B20">
        <v>480</v>
      </c>
      <c r="G20" t="s">
        <v>20</v>
      </c>
      <c r="H20">
        <f>SQRT(H19)/H18</f>
        <v>2.6368816952638223</v>
      </c>
      <c r="I20" s="2">
        <v>2.6368</v>
      </c>
    </row>
    <row r="21" spans="1:9" x14ac:dyDescent="0.25">
      <c r="A21" t="s">
        <v>5</v>
      </c>
      <c r="B21">
        <v>229</v>
      </c>
      <c r="G21" t="s">
        <v>23</v>
      </c>
      <c r="H21" t="s">
        <v>24</v>
      </c>
    </row>
    <row r="22" spans="1:9" x14ac:dyDescent="0.25">
      <c r="A22" t="s">
        <v>1</v>
      </c>
      <c r="B22">
        <v>2341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ACOSTA</dc:creator>
  <cp:lastModifiedBy>Camilo Murcia</cp:lastModifiedBy>
  <dcterms:created xsi:type="dcterms:W3CDTF">2026-10-06T15:41:38Z</dcterms:created>
  <dcterms:modified xsi:type="dcterms:W3CDTF">2026-10-14T01:19:02Z</dcterms:modified>
</cp:coreProperties>
</file>