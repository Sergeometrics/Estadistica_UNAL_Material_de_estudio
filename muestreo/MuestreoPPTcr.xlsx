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<sst xmlns="http://schemas.openxmlformats.org/spreadsheetml/2006/main" count="47" uniqueCount="33">
  <si>
    <t xml:space="preserve">Idioma</t>
  </si>
  <si>
    <t xml:space="preserve">Pais</t>
  </si>
  <si>
    <t xml:space="preserve">mex</t>
  </si>
  <si>
    <t xml:space="preserve">GDP</t>
  </si>
  <si>
    <t xml:space="preserve">Pk</t>
  </si>
  <si>
    <t xml:space="preserve">LI</t>
  </si>
  <si>
    <t xml:space="preserve">Ls</t>
  </si>
  <si>
    <t xml:space="preserve">Z</t>
  </si>
  <si>
    <t xml:space="preserve">Cor</t>
  </si>
  <si>
    <t xml:space="preserve">ARG</t>
  </si>
  <si>
    <t xml:space="preserve">BRA</t>
  </si>
  <si>
    <t xml:space="preserve">VEN</t>
  </si>
  <si>
    <t xml:space="preserve">PER</t>
  </si>
  <si>
    <t xml:space="preserve">COL</t>
  </si>
  <si>
    <t xml:space="preserve">CHI</t>
  </si>
  <si>
    <t xml:space="preserve">URU</t>
  </si>
  <si>
    <t xml:space="preserve">ECU</t>
  </si>
  <si>
    <t xml:space="preserve">BOL</t>
  </si>
  <si>
    <t xml:space="preserve">PAR</t>
  </si>
  <si>
    <t xml:space="preserve">GUY</t>
  </si>
  <si>
    <t xml:space="preserve">IC_li_95%</t>
  </si>
  <si>
    <t xml:space="preserve">IC_ls_95%</t>
  </si>
  <si>
    <t xml:space="preserve">CV</t>
  </si>
  <si>
    <t xml:space="preserve">Muestra</t>
  </si>
  <si>
    <t xml:space="preserve">yk/pk</t>
  </si>
  <si>
    <t xml:space="preserve">ESP?</t>
  </si>
  <si>
    <t xml:space="preserve">mex_ESP</t>
  </si>
  <si>
    <t xml:space="preserve">Total_est</t>
  </si>
  <si>
    <t xml:space="preserve">NA</t>
  </si>
  <si>
    <t xml:space="preserve">Prom_est</t>
  </si>
  <si>
    <t xml:space="preserve">desv_est</t>
  </si>
  <si>
    <t xml:space="preserve">Total_esp_est</t>
  </si>
  <si>
    <t xml:space="preserve">desv_est_ESP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</si>
</sst>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  <fill>
      <patternFill patternType="solid">
        <fgColor rgb="FFFF8000"/>
        <bgColor rgb="FFEA7500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EA7500"/>
        <bgColor rgb="FFFF8000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Percent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8000"/>
      <rgbColor rgb="FFEA7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ema de 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0.14453125" defaultRowHeight="15.05" customHeight="true" zeroHeight="false" outlineLevelRow="0" outlineLevelCol="0"/>
  <cols>
    <col collapsed="false" customWidth="true" hidden="false" outlineLevel="0" max="6" min="6" style="0" width="13.28"/>
    <col collapsed="false" customWidth="true" hidden="false" outlineLevel="0" max="8" min="8" style="0" width="14.28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customFormat="false" ht="15.05" hidden="false" customHeight="false" outlineLevel="0" collapsed="false">
      <c r="A2" s="1" t="n">
        <v>1</v>
      </c>
      <c r="B2" s="1" t="s">
        <v>9</v>
      </c>
      <c r="C2" s="1" t="n">
        <v>2341</v>
      </c>
      <c r="D2" s="1" t="n">
        <v>8949</v>
      </c>
      <c r="E2" s="1" t="n">
        <f aca="false">D2/$D$13</f>
        <v>0.161776669016758</v>
      </c>
      <c r="F2" s="1" t="n">
        <v>0</v>
      </c>
      <c r="G2" s="1" t="n">
        <f aca="false">E2</f>
        <v>0.161776669016758</v>
      </c>
      <c r="H2" s="2" t="n">
        <v>0.331120281001854</v>
      </c>
      <c r="I2" s="3" t="n">
        <f aca="false">CORREL(C2:C12,D2:D12)</f>
        <v>0.606125050263662</v>
      </c>
    </row>
    <row r="3" customFormat="false" ht="15.05" hidden="false" customHeight="false" outlineLevel="0" collapsed="false">
      <c r="A3" s="1" t="n">
        <v>0</v>
      </c>
      <c r="B3" s="1" t="s">
        <v>10</v>
      </c>
      <c r="C3" s="1" t="n">
        <v>1234</v>
      </c>
      <c r="D3" s="1" t="n">
        <v>27474</v>
      </c>
      <c r="E3" s="1" t="n">
        <f aca="false">D3/$D$13</f>
        <v>0.496664678127881</v>
      </c>
      <c r="F3" s="1" t="n">
        <f aca="false">G2</f>
        <v>0.161776669016758</v>
      </c>
      <c r="G3" s="1" t="n">
        <f aca="false">F3+E3</f>
        <v>0.658441347144639</v>
      </c>
      <c r="H3" s="2" t="n">
        <v>0.657317355741249</v>
      </c>
    </row>
    <row r="4" customFormat="false" ht="15.05" hidden="false" customHeight="false" outlineLevel="0" collapsed="false">
      <c r="A4" s="1" t="n">
        <v>1</v>
      </c>
      <c r="B4" s="1" t="s">
        <v>11</v>
      </c>
      <c r="C4" s="1" t="n">
        <v>527</v>
      </c>
      <c r="D4" s="1" t="n">
        <v>6907</v>
      </c>
      <c r="E4" s="1" t="n">
        <f aca="false">D4/$D$13</f>
        <v>0.124862158106911</v>
      </c>
      <c r="F4" s="1" t="n">
        <f aca="false">G3</f>
        <v>0.658441347144639</v>
      </c>
      <c r="G4" s="1" t="n">
        <f aca="false">F4+E4</f>
        <v>0.78330350525155</v>
      </c>
      <c r="H4" s="2" t="n">
        <v>0.489960404006045</v>
      </c>
    </row>
    <row r="5" customFormat="false" ht="15.05" hidden="false" customHeight="false" outlineLevel="0" collapsed="false">
      <c r="A5" s="1" t="n">
        <v>1</v>
      </c>
      <c r="B5" s="1" t="s">
        <v>12</v>
      </c>
      <c r="C5" s="1" t="n">
        <v>480</v>
      </c>
      <c r="D5" s="1" t="n">
        <v>2204</v>
      </c>
      <c r="E5" s="1" t="n">
        <f aca="false">D5/$D$13</f>
        <v>0.0398430862121952</v>
      </c>
      <c r="F5" s="1" t="n">
        <f aca="false">G4</f>
        <v>0.78330350525155</v>
      </c>
      <c r="G5" s="1" t="n">
        <f aca="false">F5+E5</f>
        <v>0.823146591463745</v>
      </c>
      <c r="H5" s="2" t="n">
        <v>0.565808707296177</v>
      </c>
    </row>
    <row r="6" customFormat="false" ht="15.05" hidden="false" customHeight="false" outlineLevel="0" collapsed="false">
      <c r="A6" s="1" t="n">
        <v>1</v>
      </c>
      <c r="B6" s="1" t="s">
        <v>13</v>
      </c>
      <c r="C6" s="1" t="n">
        <v>229</v>
      </c>
      <c r="D6" s="1" t="n">
        <v>3819</v>
      </c>
      <c r="E6" s="1" t="n">
        <f aca="false">D6/$D$13</f>
        <v>0.0690384511090623</v>
      </c>
      <c r="F6" s="1" t="n">
        <f aca="false">G5</f>
        <v>0.823146591463745</v>
      </c>
      <c r="G6" s="1" t="n">
        <f aca="false">F6+E6</f>
        <v>0.892185042572808</v>
      </c>
      <c r="H6" s="2" t="n">
        <v>0.616803113237759</v>
      </c>
    </row>
    <row r="7" customFormat="false" ht="15.05" hidden="false" customHeight="false" outlineLevel="0" collapsed="false">
      <c r="A7" s="1" t="n">
        <v>1</v>
      </c>
      <c r="B7" s="1" t="s">
        <v>14</v>
      </c>
      <c r="C7" s="1" t="n">
        <v>225</v>
      </c>
      <c r="D7" s="1" t="n">
        <v>2516</v>
      </c>
      <c r="E7" s="1" t="n">
        <f aca="false">D7/$D$13</f>
        <v>0.0454833053130141</v>
      </c>
      <c r="F7" s="1" t="n">
        <f aca="false">G6</f>
        <v>0.892185042572808</v>
      </c>
      <c r="G7" s="1" t="n">
        <f aca="false">F7+E7</f>
        <v>0.937668347885822</v>
      </c>
    </row>
    <row r="8" customFormat="false" ht="15.05" hidden="false" customHeight="false" outlineLevel="0" collapsed="false">
      <c r="A8" s="1" t="n">
        <v>1</v>
      </c>
      <c r="B8" s="1" t="s">
        <v>15</v>
      </c>
      <c r="C8" s="1" t="n">
        <v>150</v>
      </c>
      <c r="D8" s="1" t="n">
        <v>1001</v>
      </c>
      <c r="E8" s="1" t="n">
        <f aca="false">D8/$D$13</f>
        <v>0.0180957029484607</v>
      </c>
      <c r="F8" s="1" t="n">
        <f aca="false">G7</f>
        <v>0.937668347885822</v>
      </c>
      <c r="G8" s="1" t="n">
        <f aca="false">F8+E8</f>
        <v>0.955764050834282</v>
      </c>
    </row>
    <row r="9" customFormat="false" ht="15.05" hidden="false" customHeight="false" outlineLevel="0" collapsed="false">
      <c r="A9" s="1" t="n">
        <v>1</v>
      </c>
      <c r="B9" s="1" t="s">
        <v>16</v>
      </c>
      <c r="C9" s="1" t="n">
        <v>92</v>
      </c>
      <c r="D9" s="1" t="n">
        <v>1288</v>
      </c>
      <c r="E9" s="1" t="n">
        <f aca="false">D9/$D$13</f>
        <v>0.0232839814162012</v>
      </c>
      <c r="F9" s="1" t="n">
        <f aca="false">G8</f>
        <v>0.955764050834282</v>
      </c>
      <c r="G9" s="1" t="n">
        <f aca="false">F9+E9</f>
        <v>0.979048032250483</v>
      </c>
    </row>
    <row r="10" customFormat="false" ht="15.05" hidden="false" customHeight="false" outlineLevel="0" collapsed="false">
      <c r="A10" s="1" t="n">
        <v>1</v>
      </c>
      <c r="B10" s="1" t="s">
        <v>17</v>
      </c>
      <c r="C10" s="1" t="n">
        <v>84</v>
      </c>
      <c r="D10" s="1" t="n">
        <v>539</v>
      </c>
      <c r="E10" s="1" t="n">
        <f aca="false">D10/$D$13</f>
        <v>0.00974384004917114</v>
      </c>
      <c r="F10" s="1" t="n">
        <f aca="false">G9</f>
        <v>0.979048032250483</v>
      </c>
      <c r="G10" s="1" t="n">
        <f aca="false">F10+E10</f>
        <v>0.988791872299655</v>
      </c>
    </row>
    <row r="11" customFormat="false" ht="15.05" hidden="false" customHeight="false" outlineLevel="0" collapsed="false">
      <c r="A11" s="1" t="n">
        <v>1</v>
      </c>
      <c r="B11" s="1" t="s">
        <v>18</v>
      </c>
      <c r="C11" s="1" t="n">
        <v>40</v>
      </c>
      <c r="D11" s="1" t="n">
        <v>573</v>
      </c>
      <c r="E11" s="1" t="n">
        <f aca="false">D11/$D$13</f>
        <v>0.0103584793101578</v>
      </c>
      <c r="F11" s="1" t="n">
        <f aca="false">G10</f>
        <v>0.988791872299655</v>
      </c>
      <c r="G11" s="1" t="n">
        <f aca="false">F11+E11</f>
        <v>0.999150351609812</v>
      </c>
    </row>
    <row r="12" customFormat="false" ht="15.05" hidden="false" customHeight="false" outlineLevel="0" collapsed="false">
      <c r="A12" s="1" t="n">
        <v>0</v>
      </c>
      <c r="B12" s="1" t="s">
        <v>19</v>
      </c>
      <c r="C12" s="1" t="n">
        <v>27</v>
      </c>
      <c r="D12" s="1" t="n">
        <v>47</v>
      </c>
      <c r="E12" s="1" t="n">
        <f aca="false">D12/$D$13</f>
        <v>0.000849648390187465</v>
      </c>
      <c r="F12" s="1" t="n">
        <f aca="false">G11</f>
        <v>0.999150351609812</v>
      </c>
      <c r="G12" s="1" t="n">
        <f aca="false">F12+E12</f>
        <v>1</v>
      </c>
    </row>
    <row r="13" customFormat="false" ht="15.05" hidden="false" customHeight="false" outlineLevel="0" collapsed="false">
      <c r="C13" s="0" t="n">
        <f aca="false">AVERAGE(C2:C12)</f>
        <v>493.545454545455</v>
      </c>
      <c r="D13" s="0" t="n">
        <f aca="false">SUM(D2:D12)</f>
        <v>55317</v>
      </c>
    </row>
    <row r="14" customFormat="false" ht="15.05" hidden="false" customHeight="false" outlineLevel="0" collapsed="false">
      <c r="H14" s="4"/>
      <c r="I14" s="4"/>
      <c r="J14" s="4" t="s">
        <v>20</v>
      </c>
      <c r="K14" s="4" t="s">
        <v>21</v>
      </c>
      <c r="L14" s="4" t="s">
        <v>22</v>
      </c>
    </row>
    <row r="15" customFormat="false" ht="15.05" hidden="false" customHeight="false" outlineLevel="0" collapsed="false">
      <c r="B15" s="5" t="s">
        <v>23</v>
      </c>
      <c r="C15" s="5" t="s">
        <v>2</v>
      </c>
      <c r="D15" s="5" t="s">
        <v>24</v>
      </c>
      <c r="E15" s="5" t="s">
        <v>25</v>
      </c>
      <c r="F15" s="5" t="s">
        <v>26</v>
      </c>
      <c r="H15" s="4" t="s">
        <v>27</v>
      </c>
      <c r="I15" s="4" t="n">
        <f aca="false">SUM(D16:D20)</f>
        <v>12422.8685302468</v>
      </c>
      <c r="J15" s="4" t="s">
        <v>28</v>
      </c>
      <c r="K15" s="4" t="s">
        <v>28</v>
      </c>
      <c r="L15" s="4" t="s">
        <v>28</v>
      </c>
    </row>
    <row r="16" customFormat="false" ht="15.05" hidden="false" customHeight="false" outlineLevel="0" collapsed="false">
      <c r="B16" s="5" t="s">
        <v>10</v>
      </c>
      <c r="C16" s="5" t="n">
        <v>1234</v>
      </c>
      <c r="D16" s="5" t="n">
        <f aca="false">C16/E3</f>
        <v>2484.57370604936</v>
      </c>
      <c r="E16" s="5" t="n">
        <v>0</v>
      </c>
      <c r="F16" s="5" t="n">
        <f aca="false">C16*E16</f>
        <v>0</v>
      </c>
      <c r="H16" s="4" t="s">
        <v>29</v>
      </c>
      <c r="I16" s="4" t="n">
        <f aca="false">I15/(11*5)</f>
        <v>225.870336913578</v>
      </c>
      <c r="J16" s="4" t="n">
        <f aca="false">I16-1.96*I17/121</f>
        <v>225.870336913578</v>
      </c>
      <c r="K16" s="4" t="n">
        <f aca="false">I16+1.96*I17/121</f>
        <v>225.870336913578</v>
      </c>
      <c r="L16" s="4" t="n">
        <f aca="false">I17/I16</f>
        <v>0</v>
      </c>
    </row>
    <row r="17" customFormat="false" ht="15.05" hidden="false" customHeight="false" outlineLevel="0" collapsed="false">
      <c r="B17" s="5" t="s">
        <v>10</v>
      </c>
      <c r="C17" s="5" t="n">
        <v>1234</v>
      </c>
      <c r="D17" s="5" t="n">
        <f aca="false">C17/E3</f>
        <v>2484.57370604936</v>
      </c>
      <c r="E17" s="5" t="n">
        <v>0</v>
      </c>
      <c r="F17" s="5" t="n">
        <f aca="false">C17*E17</f>
        <v>0</v>
      </c>
      <c r="H17" s="4" t="s">
        <v>30</v>
      </c>
      <c r="I17" s="4" t="n">
        <f aca="false">SQRT(_xlfn.VAR.S(D16:D20)/5)</f>
        <v>0</v>
      </c>
      <c r="J17" s="4" t="s">
        <v>28</v>
      </c>
      <c r="K17" s="4" t="s">
        <v>28</v>
      </c>
      <c r="L17" s="4" t="s">
        <v>28</v>
      </c>
    </row>
    <row r="18" customFormat="false" ht="15.05" hidden="false" customHeight="false" outlineLevel="0" collapsed="false">
      <c r="B18" s="5" t="s">
        <v>10</v>
      </c>
      <c r="C18" s="5" t="n">
        <v>1234</v>
      </c>
      <c r="D18" s="5" t="n">
        <f aca="false">C18/E3</f>
        <v>2484.57370604936</v>
      </c>
      <c r="E18" s="5" t="n">
        <v>0</v>
      </c>
      <c r="F18" s="5" t="n">
        <f aca="false">C18*E18</f>
        <v>0</v>
      </c>
      <c r="H18" s="4" t="s">
        <v>31</v>
      </c>
      <c r="I18" s="4" t="n">
        <f aca="false">(1/55)*SUM($F$16:$F$20)</f>
        <v>0</v>
      </c>
      <c r="J18" s="4" t="n">
        <f aca="false">I18-1.96*I19</f>
        <v>0</v>
      </c>
      <c r="K18" s="4" t="n">
        <f aca="false">I18+1.96*I19</f>
        <v>0</v>
      </c>
      <c r="L18" s="4" t="e">
        <f aca="false">I19/I18</f>
        <v>#DIV/0!</v>
      </c>
    </row>
    <row r="19" customFormat="false" ht="15.05" hidden="false" customHeight="false" outlineLevel="0" collapsed="false">
      <c r="B19" s="5" t="s">
        <v>10</v>
      </c>
      <c r="C19" s="5" t="n">
        <v>1234</v>
      </c>
      <c r="D19" s="5" t="n">
        <f aca="false">C19/E3</f>
        <v>2484.57370604936</v>
      </c>
      <c r="E19" s="5" t="n">
        <v>0</v>
      </c>
      <c r="F19" s="5" t="n">
        <f aca="false">C19*E19</f>
        <v>0</v>
      </c>
      <c r="H19" s="4" t="s">
        <v>32</v>
      </c>
      <c r="I19" s="4" t="n">
        <f aca="false">SQRT(_xlfn.VAR.S(F16:F20))</f>
        <v>0</v>
      </c>
      <c r="J19" s="4" t="s">
        <v>28</v>
      </c>
      <c r="K19" s="4" t="s">
        <v>28</v>
      </c>
      <c r="L19" s="4" t="s">
        <v>28</v>
      </c>
    </row>
    <row r="20" customFormat="false" ht="15.05" hidden="false" customHeight="false" outlineLevel="0" collapsed="false">
      <c r="B20" s="5" t="s">
        <v>10</v>
      </c>
      <c r="C20" s="5" t="n">
        <v>1234</v>
      </c>
      <c r="D20" s="5" t="n">
        <f aca="false">C20/E3</f>
        <v>2484.57370604936</v>
      </c>
      <c r="E20" s="5" t="n">
        <v>0</v>
      </c>
      <c r="F20" s="5" t="n">
        <f aca="false">C20*E20</f>
        <v>0</v>
      </c>
    </row>
    <row r="21" customFormat="false" ht="15.05" hidden="false" customHeight="false" outlineLevel="0" collapsed="false">
      <c r="C21" s="5" t="n">
        <f aca="false">SUM(C16:C20)</f>
        <v>6170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Serif"&amp;12&amp;Kffffff&amp;A</oddHeader>
    <oddFooter>&amp;C&amp;"Noto Serif"&amp;12&amp;KffffffPage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ACOSTA</dc:creator>
  <dc:description/>
  <dc:language>en-US</dc:language>
  <cp:lastModifiedBy/>
  <dcterms:modified xsi:type="dcterms:W3CDTF">2026-10-20T15:34:56Z</dcterms:modified>
  <cp:revision>2</cp:revision>
  <dc:subject/>
  <dc:title/>
</cp:coreProperties>
</file>